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idarshanbehera/Downloads/"/>
    </mc:Choice>
  </mc:AlternateContent>
  <xr:revisionPtr revIDLastSave="0" documentId="13_ncr:1_{1CAF7C0C-A578-8243-9AC4-0AE36D414DA7}" xr6:coauthVersionLast="47" xr6:coauthVersionMax="47" xr10:uidLastSave="{00000000-0000-0000-0000-000000000000}"/>
  <bookViews>
    <workbookView xWindow="0" yWindow="880" windowWidth="34200" windowHeight="19880" activeTab="6" xr2:uid="{C9BA2C7C-E4D3-A44B-84CC-9498B009C139}"/>
  </bookViews>
  <sheets>
    <sheet name="Note" sheetId="8" r:id="rId1"/>
    <sheet name="Budget_Main" sheetId="9" r:id="rId2"/>
    <sheet name="Growth_calculation" sheetId="13" r:id="rId3"/>
    <sheet name="Revenue_Detail" sheetId="10" r:id="rId4"/>
    <sheet name="Expenditure_Detail" sheetId="11" r:id="rId5"/>
    <sheet name="Inflation_rupee_month_wise" sheetId="15" r:id="rId6"/>
    <sheet name="inflation_rupee_quater_wise" sheetId="17" r:id="rId7"/>
    <sheet name="Where the Rupee Comes From" sheetId="18" r:id="rId8"/>
    <sheet name="Where the Rupee Goes" sheetId="19" r:id="rId9"/>
    <sheet name="inflation_rupee_year_wise" sheetId="16" r:id="rId10"/>
    <sheet name="State_allocation" sheetId="14" r:id="rId11"/>
    <sheet name="Calendar" sheetId="12" r:id="rId12"/>
  </sheets>
  <definedNames>
    <definedName name="_xlnm._FilterDatabase" localSheetId="7" hidden="1">'Where the Rupee Comes From'!$A$1:$C$97</definedName>
    <definedName name="_xlnm._FilterDatabase" localSheetId="8" hidden="1">'Where the Rupee Goes'!$A$1:$C$97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3" l="1"/>
  <c r="D3" i="13"/>
  <c r="D4" i="13"/>
  <c r="D5" i="13"/>
  <c r="D6" i="13"/>
  <c r="D7" i="13"/>
  <c r="D8" i="13"/>
  <c r="D9" i="13"/>
  <c r="D10" i="13"/>
  <c r="D11" i="13"/>
  <c r="D12" i="13"/>
  <c r="D13" i="13"/>
  <c r="B3" i="13"/>
  <c r="B4" i="13"/>
  <c r="B5" i="13"/>
  <c r="B6" i="13"/>
  <c r="B7" i="13"/>
  <c r="B8" i="13"/>
  <c r="B9" i="13"/>
  <c r="B10" i="13"/>
  <c r="B11" i="13"/>
  <c r="B12" i="13"/>
  <c r="B13" i="13"/>
</calcChain>
</file>

<file path=xl/sharedStrings.xml><?xml version="1.0" encoding="utf-8"?>
<sst xmlns="http://schemas.openxmlformats.org/spreadsheetml/2006/main" count="2433" uniqueCount="346">
  <si>
    <t>Revenue vs Expenditure analysis</t>
  </si>
  <si>
    <t>Tax revenue (Direct &amp; Indirect)</t>
  </si>
  <si>
    <t>Fiscal deficit</t>
  </si>
  <si>
    <t>Capital vs Revenue expenditure</t>
  </si>
  <si>
    <t>Sector allocation (Defense, Education, Health)</t>
  </si>
  <si>
    <t xml:space="preserve"> Data:</t>
  </si>
  <si>
    <t xml:space="preserve"> Theme:</t>
  </si>
  <si>
    <t>Income Tax</t>
  </si>
  <si>
    <t>Corporate Tax</t>
  </si>
  <si>
    <t>GST</t>
  </si>
  <si>
    <t>Customs Duty</t>
  </si>
  <si>
    <t>Defence</t>
  </si>
  <si>
    <t>Education</t>
  </si>
  <si>
    <t>Health</t>
  </si>
  <si>
    <t>Agriculture</t>
  </si>
  <si>
    <t>Infrastructure</t>
  </si>
  <si>
    <t>Interest Payments</t>
  </si>
  <si>
    <t>Financial Year</t>
  </si>
  <si>
    <t>Sector</t>
  </si>
  <si>
    <t>Ministry of Finance</t>
  </si>
  <si>
    <t>Financial_Year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</si>
  <si>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</si>
  <si>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</si>
  <si>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</si>
  <si>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</si>
  <si>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</si>
  <si>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</si>
  <si>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</si>
  <si>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</si>
  <si>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</si>
  <si>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</si>
  <si>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2025-26</t>
  </si>
  <si>
    <t>Direct Tax</t>
  </si>
  <si>
    <t>Indirect Tax</t>
  </si>
  <si>
    <t>Excise Duty</t>
  </si>
  <si>
    <t>Non-Tax</t>
  </si>
  <si>
    <t>Interest Receipts</t>
  </si>
  <si>
    <t>2024-25</t>
  </si>
  <si>
    <t>Revenue</t>
  </si>
  <si>
    <t>Capital</t>
  </si>
  <si>
    <t>Year_Start</t>
  </si>
  <si>
    <t>Year_End</t>
  </si>
  <si>
    <t>2024-25 (RE)</t>
  </si>
  <si>
    <t>2025-26 (BE)</t>
  </si>
  <si>
    <t>Category</t>
  </si>
  <si>
    <t>Sub-Head</t>
  </si>
  <si>
    <t>Value (₹ Crore)</t>
  </si>
  <si>
    <t>N/A</t>
  </si>
  <si>
    <t>Dividends &amp; Profits</t>
  </si>
  <si>
    <t>Fiscal Deficit % GDP</t>
  </si>
  <si>
    <t>Total Revenue(₹ crore)</t>
  </si>
  <si>
    <t>Tax Revenue(₹ crore)</t>
  </si>
  <si>
    <t>Non-Tax Revenue(₹ crore)</t>
  </si>
  <si>
    <t>Capital Receipts(₹ crore)</t>
  </si>
  <si>
    <t>Total Expenditure(₹ crore)</t>
  </si>
  <si>
    <t>Revenue Expenditure(₹ crore)</t>
  </si>
  <si>
    <t>Capital Expenditure(₹ crore)</t>
  </si>
  <si>
    <t>Fiscal Deficit(₹ crore)</t>
  </si>
  <si>
    <t>Nominal GDP(₹ crore)</t>
  </si>
  <si>
    <t>Expenditure Type</t>
  </si>
  <si>
    <t>Amount (₹ Crore)</t>
  </si>
  <si>
    <t>Finacial year</t>
  </si>
  <si>
    <t>Revenue Growth</t>
  </si>
  <si>
    <t>Captinal_expd of Total expd</t>
  </si>
  <si>
    <t>Inflation rate</t>
  </si>
  <si>
    <t>Rupee value</t>
  </si>
  <si>
    <t>Quarter</t>
  </si>
  <si>
    <t>Q1</t>
  </si>
  <si>
    <t>Q2</t>
  </si>
  <si>
    <t>Q3</t>
  </si>
  <si>
    <t>Q4</t>
  </si>
  <si>
    <t>`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</si>
  <si>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</si>
  <si>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</si>
  <si>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</si>
  <si>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</si>
  <si>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</si>
  <si>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</si>
  <si>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</si>
  <si>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</si>
  <si>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</si>
  <si>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</si>
  <si>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</si>
  <si>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</si>
  <si>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</si>
  <si>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</si>
  <si>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</si>
  <si>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</si>
  <si>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</si>
  <si>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</si>
  <si>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</si>
  <si>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</si>
  <si>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</si>
  <si>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</si>
  <si>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</si>
  <si>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</si>
  <si>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</si>
  <si>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</si>
  <si>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</si>
  <si>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</si>
  <si>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&amp; Nicobar Islands</t>
  </si>
  <si>
    <t>Chandigarh</t>
  </si>
  <si>
    <t>Dadra &amp; Nagar Haveli and Daman &amp; Diu</t>
  </si>
  <si>
    <t>Delhi (NCT)</t>
  </si>
  <si>
    <t>Jammu &amp; Kashmir</t>
  </si>
  <si>
    <t>Ladakh</t>
  </si>
  <si>
    <t>Puducherry</t>
  </si>
  <si>
    <t>State / Union Territory</t>
  </si>
  <si>
    <t>Revenue Collected (₹ Crores)</t>
  </si>
  <si>
    <t>Expenditure (₹ Crores)</t>
  </si>
  <si>
    <t>Union Budget Analysis Dashboard for past 12 years</t>
  </si>
  <si>
    <t>Dynamic titles that change based on slicer selection</t>
  </si>
  <si>
    <t>State wise allocation</t>
  </si>
  <si>
    <t>PAGE 1 — Executive Overview</t>
  </si>
  <si>
    <t>KPI cards: Total Revenue, Total Expenditure, Fiscal Deficit, Nominal GDP (selected year)</t>
  </si>
  <si>
    <t>Line chart: Revenue vs Expenditure vs GDP trend (2014-15 to 2025-26)</t>
  </si>
  <si>
    <t>Bar chart: Fiscal Deficit ₹ value by year</t>
  </si>
  <si>
    <t>India map: State-wise revenue heatmap</t>
  </si>
  <si>
    <t>Slicers: Financial Year, State/UT</t>
  </si>
  <si>
    <r>
      <t>Navigation bar</t>
    </r>
    <r>
      <rPr>
        <sz val="12"/>
        <color theme="1"/>
        <rFont val="Aptos Narrow"/>
        <family val="2"/>
        <scheme val="minor"/>
      </rPr>
      <t xml:space="preserve"> on left/top with page icons across all pages</t>
    </r>
  </si>
  <si>
    <r>
      <t>Consistent colour theme</t>
    </r>
    <r>
      <rPr>
        <sz val="12"/>
        <color theme="1"/>
        <rFont val="Aptos Narrow"/>
        <family val="2"/>
        <scheme val="minor"/>
      </rPr>
      <t>: Deep blue = Revenue, Orange/Red = Expenditure/Deficit, Green = GDP</t>
    </r>
  </si>
  <si>
    <t>One clean "story at a glance" for any stakeholder</t>
  </si>
  <si>
    <t>PAGE 2 — Revenue Details</t>
  </si>
  <si>
    <t>Stacked bar: Tax Revenue vs Non-Tax Revenue vs Capital Receipts by year</t>
  </si>
  <si>
    <t>Donut: Income Tax vs Corporate Tax vs GST vs Customs vs Excise (latest year)</t>
  </si>
  <si>
    <t>Line: Revenue Growth % YoY with annotations on big swings (2019-20 dip, 2021-22 surge)</t>
  </si>
  <si>
    <t>Table: Year-wise breakup of all revenue sub-heads</t>
  </si>
  <si>
    <t>Slicers: Financial Year, Revenue Category (Direct/Indirect/Non-Tax)</t>
  </si>
  <si>
    <r>
      <t>Tooltip page</t>
    </r>
    <r>
      <rPr>
        <sz val="12"/>
        <color theme="1"/>
        <rFont val="Aptos Narrow"/>
        <family val="2"/>
        <scheme val="minor"/>
      </rPr>
      <t>: Hover over any bar to see sub-head breakdown popup</t>
    </r>
  </si>
  <si>
    <t>PAGE 3 — Expenditure Details</t>
  </si>
  <si>
    <t>Stacked bar: Revenue Expenditure vs Capital Expenditure by year</t>
  </si>
  <si>
    <t>Treemap: Sector-wise spending (Defence, Education, Health, Agriculture, Infrastructure, Interest Payments)</t>
  </si>
  <si>
    <t>Line: Capital Expenditure % of Total Expenditure trend</t>
  </si>
  <si>
    <t>Bar: Top spending sectors per year</t>
  </si>
  <si>
    <t>Slicers: Year, Sector, Expenditure Type (Revenue/Capital)</t>
  </si>
  <si>
    <r>
      <t>Tooltip page</t>
    </r>
    <r>
      <rPr>
        <sz val="12"/>
        <color theme="1"/>
        <rFont val="Aptos Narrow"/>
        <family val="2"/>
        <scheme val="minor"/>
      </rPr>
      <t>: Hover over treemap sector to see year-wise trend popup</t>
    </r>
  </si>
  <si>
    <t>PAGE 4 — Fiscal Deficit, Inflation &amp; Rupee</t>
  </si>
  <si>
    <t>Dual-axis line: Fiscal Deficit % GDP (bar) + Rupee value vs USD (line) by year</t>
  </si>
  <si>
    <t>Quarterly line chart: Inflation rate by quarter across all years</t>
  </si>
  <si>
    <t>Quarterly line chart: Rupee value by quarter</t>
  </si>
  <si>
    <t>KPI cards: Average Inflation, Rupee depreciation since 2014-15, Peak deficit year</t>
  </si>
  <si>
    <t>Slicers: Year, Quarter</t>
  </si>
  <si>
    <r>
      <t>Annotation callouts</t>
    </r>
    <r>
      <rPr>
        <sz val="12"/>
        <color theme="1"/>
        <rFont val="Aptos Narrow"/>
        <family val="2"/>
        <scheme val="minor"/>
      </rPr>
      <t>: Flag 2020-21 COVID spike, 2022-23 high inflation period</t>
    </r>
  </si>
  <si>
    <t>PAGE 5 — Fiscal Deficit vs Rupee Correlation</t>
  </si>
  <si>
    <t>Scatter plot: X = Fiscal Deficit % GDP, Y = Rupee value (one dot per year, labelled)</t>
  </si>
  <si>
    <t>Line of best fit (trend line) to show correlation direction</t>
  </si>
  <si>
    <t>Annotate outliers: 2020-21 (COVID spike)</t>
  </si>
  <si>
    <t>KPI card: Correlation coefficient value</t>
  </si>
  <si>
    <r>
      <t>"What does this mean?"</t>
    </r>
    <r>
      <rPr>
        <sz val="12"/>
        <color theme="1"/>
        <rFont val="Aptos Narrow"/>
        <family val="2"/>
        <scheme val="minor"/>
      </rPr>
      <t xml:space="preserve"> text box explaining correlation in simple language</t>
    </r>
  </si>
  <si>
    <t>Insight text box: "When fiscal deficit rises above X%, rupee tends to weaken by Y%"</t>
  </si>
  <si>
    <t>Slicer: Year range selector</t>
  </si>
  <si>
    <t>PAGE 6 — Inflation vs Rupee Correlation</t>
  </si>
  <si>
    <t>Scatter plot: X = Quarterly Inflation rate, Y = Rupee value (one dot per quarter, labelled FY+Q)</t>
  </si>
  <si>
    <t>Trend line overlay</t>
  </si>
  <si>
    <t>Dual-axis line: Inflation % vs Rupee value over quarters side by side</t>
  </si>
  <si>
    <t>KPI card: Correlation coefficient</t>
  </si>
  <si>
    <t>Annotate high-inflation quarters and rupee behaviour</t>
  </si>
  <si>
    <r>
      <t>"What does this mean?"</t>
    </r>
    <r>
      <rPr>
        <sz val="12"/>
        <color theme="1"/>
        <rFont val="Aptos Narrow"/>
        <family val="2"/>
        <scheme val="minor"/>
      </rPr>
      <t xml:space="preserve"> text box in simple language</t>
    </r>
  </si>
  <si>
    <t>Insight: "Higher inflation quarters coincide with rupee at X level"</t>
  </si>
  <si>
    <t>GLOBAL FEATURES (across all pages)</t>
  </si>
  <si>
    <t>Left/top navigation bar with clickable page icons</t>
  </si>
  <si>
    <t>Consistent colour theme: Blue = Revenue, Red/Orange = Expenditure/Deficit, Green = GDP, Yellow = Inflation</t>
  </si>
  <si>
    <t>Bookmark toggles: "Surplus States" vs "Deficit States" on Page 1</t>
  </si>
  <si>
    <t>Tooltips with mini popup on hover showing additional context</t>
  </si>
  <si>
    <t>Cross-filtering enabled between all visuals on each page</t>
  </si>
  <si>
    <t>Data Sources</t>
  </si>
  <si>
    <r>
      <t>Budget_Main &amp; Growth_Calculation</t>
    </r>
    <r>
      <rPr>
        <sz val="12"/>
        <color theme="1"/>
        <rFont val="Aptos Narrow"/>
        <family val="2"/>
        <scheme val="minor"/>
      </rPr>
      <t xml:space="preserve"> (Total Revenue, Expenditure, Fiscal Deficit, Nominal GDP)</t>
    </r>
  </si>
  <si>
    <t>Source</t>
  </si>
  <si>
    <t>Website</t>
  </si>
  <si>
    <t>Union Budget Official Site</t>
  </si>
  <si>
    <t>indiabudget.gov.in</t>
  </si>
  <si>
    <t>RBI Handbook of Statistics</t>
  </si>
  <si>
    <t>rbi.org.in</t>
  </si>
  <si>
    <t>Controller General of Accounts</t>
  </si>
  <si>
    <t>cga.nic.in</t>
  </si>
  <si>
    <t>finmin.nic.in</t>
  </si>
  <si>
    <r>
      <t>Revenue_Detail</t>
    </r>
    <r>
      <rPr>
        <sz val="12"/>
        <color theme="1"/>
        <rFont val="Aptos Narrow"/>
        <family val="2"/>
        <scheme val="minor"/>
      </rPr>
      <t xml:space="preserve"> (Income Tax, Corporate Tax, GST, Customs, Excise)</t>
    </r>
  </si>
  <si>
    <t>CBDT</t>
  </si>
  <si>
    <t>incometaxindia.gov.in</t>
  </si>
  <si>
    <t>CBIC</t>
  </si>
  <si>
    <t>cbic.gov.in</t>
  </si>
  <si>
    <t>GST Council</t>
  </si>
  <si>
    <t>gstcouncil.gov.in</t>
  </si>
  <si>
    <t>PIB Press Releases</t>
  </si>
  <si>
    <t>pib.gov.in</t>
  </si>
  <si>
    <r>
      <t>Expenditure_Detail</t>
    </r>
    <r>
      <rPr>
        <sz val="12"/>
        <color theme="1"/>
        <rFont val="Aptos Narrow"/>
        <family val="2"/>
        <scheme val="minor"/>
      </rPr>
      <t xml:space="preserve"> (Defence, Education, Health, Agriculture, Infrastructure, Interest)</t>
    </r>
  </si>
  <si>
    <t>Union Budget</t>
  </si>
  <si>
    <t>Ministry of Education</t>
  </si>
  <si>
    <t>education.gov.in</t>
  </si>
  <si>
    <t>Ministry of Health</t>
  </si>
  <si>
    <t>mohfw.gov.in</t>
  </si>
  <si>
    <t>Ministry of Defence</t>
  </si>
  <si>
    <t>mod.gov.in</t>
  </si>
  <si>
    <t>DEA</t>
  </si>
  <si>
    <t>dea.gov.in</t>
  </si>
  <si>
    <r>
      <t>State_Data</t>
    </r>
    <r>
      <rPr>
        <sz val="12"/>
        <color theme="1"/>
        <rFont val="Aptos Narrow"/>
        <family val="2"/>
        <scheme val="minor"/>
      </rPr>
      <t xml:space="preserve"> (State-wise Revenue &amp; Expenditure for all 35 States/UTs)</t>
    </r>
  </si>
  <si>
    <t>RBI State Finances</t>
  </si>
  <si>
    <t>CAG India</t>
  </si>
  <si>
    <t>cag.gov.in</t>
  </si>
  <si>
    <t>Finance Commission</t>
  </si>
  <si>
    <t>fincomindia.nic.in</t>
  </si>
  <si>
    <t>NIPFP</t>
  </si>
  <si>
    <t>nipfp.org.in</t>
  </si>
  <si>
    <r>
      <t>Inflation_Rupee</t>
    </r>
    <r>
      <rPr>
        <sz val="12"/>
        <color theme="1"/>
        <rFont val="Aptos Narrow"/>
        <family val="2"/>
        <scheme val="minor"/>
      </rPr>
      <t xml:space="preserve"> (Quarterly Inflation Rate &amp; Rupee Value)</t>
    </r>
  </si>
  <si>
    <t>RBI Database</t>
  </si>
  <si>
    <t>dbie.rbi.org.in</t>
  </si>
  <si>
    <t>MOSPI</t>
  </si>
  <si>
    <t>mospi.gov.in</t>
  </si>
  <si>
    <t>RBI Annual Report</t>
  </si>
  <si>
    <t>Investing.com</t>
  </si>
  <si>
    <t>investing.com</t>
  </si>
  <si>
    <t>Month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</si>
  <si>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</si>
  <si>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</si>
  <si>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</si>
  <si>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</si>
  <si>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</si>
  <si>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</si>
  <si>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</si>
  <si>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</si>
  <si>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</si>
  <si>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</si>
  <si>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</si>
  <si>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</si>
  <si>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CPI Inflation YoY (%)</t>
  </si>
  <si>
    <t>USD/INR (Monthly Avg)</t>
  </si>
  <si>
    <t>Financial
Year</t>
  </si>
  <si>
    <t>Notes table6:</t>
  </si>
  <si>
    <t>CPI Mean
(%)</t>
  </si>
  <si>
    <t>CPI YoY
% Change</t>
  </si>
  <si>
    <t>INR Mean
(₹ per $)</t>
  </si>
  <si>
    <t>INR YoY
% Change</t>
  </si>
  <si>
    <t>• YoY % Change = ((Current FY Mean − Previous FY Mean) / Previous FY Mean) × 100.</t>
  </si>
  <si>
    <t>• Sources: CPI – MOSPI, GoI  |  USD/INR – RBI / Google Finance monthly averages.</t>
  </si>
  <si>
    <t>• CPI Mean = average of 12 monthly YoY CPI readings within the financial year (Apr–Mar).</t>
  </si>
  <si>
    <t>• INR Mean = average of 12 monthly USD/INR exchange rates within the financial year.</t>
  </si>
  <si>
    <t>• 2025-26: Feb &amp; Mar 2026 forecasted via OLS regression fitted on the 10 known months of 2025-26 only (Apr 2025 – Jan 2026).</t>
  </si>
  <si>
    <t>• Forecasted values — CPI: Feb=0.72%, Mar=0.52%  |  INR: Feb=₹86.96, Mar=₹87.31</t>
  </si>
  <si>
    <t>• CPI regression: slope=-0.1992%/month, R²=0.313  |  INR regression: slope=0.3413 ₹/month, R²=0.258</t>
  </si>
  <si>
    <t xml:space="preserve">• Red = increase vs prior year  |  Green = decrease vs prior year  </t>
  </si>
  <si>
    <t>Where:</t>
  </si>
  <si>
    <t>================================================================================</t>
  </si>
  <si>
    <t xml:space="preserve">  FORECAST METHODOLOGY: CPI &amp; USD/INR for Feb &amp; Mar 2026 (FY 2025-26)</t>
  </si>
  <si>
    <t>METHOD: OLS Linear Regression   =&gt;   y = alpha + beta * t</t>
  </si>
  <si>
    <t xml:space="preserve">  t = time index</t>
  </si>
  <si>
    <t xml:space="preserve">        Apr 2025 = 0</t>
  </si>
  <si>
    <t xml:space="preserve">        May 2025 = 1</t>
  </si>
  <si>
    <t xml:space="preserve">        Jun 2025 = 2</t>
  </si>
  <si>
    <t xml:space="preserve">        Jul 2025 = 3</t>
  </si>
  <si>
    <t xml:space="preserve">        Aug 2025 = 4</t>
  </si>
  <si>
    <t xml:space="preserve">        Sep 2025 = 5</t>
  </si>
  <si>
    <t xml:space="preserve">        Oct 2025 = 6</t>
  </si>
  <si>
    <t xml:space="preserve">        Nov 2025 = 7</t>
  </si>
  <si>
    <t xml:space="preserve">        Dec 2025 = 8</t>
  </si>
  <si>
    <t xml:space="preserve">        Jan 2026 = 9</t>
  </si>
  <si>
    <t xml:space="preserve">        Feb 2026 = 10  [FORECAST]</t>
  </si>
  <si>
    <t xml:space="preserve">        Mar 2026 = 11  [FORECAST]</t>
  </si>
  <si>
    <t xml:space="preserve">  y = variable being forecast (CPI % or INR Rs/USD)</t>
  </si>
  <si>
    <t>Training data: 10 known months of FY 2025-26 only (Apr 2025 to Jan 2026)</t>
  </si>
  <si>
    <t>--------------------------------------------------------------------------------</t>
  </si>
  <si>
    <t xml:space="preserve">  OLS ESTIMATION FORMULAS</t>
  </si>
  <si>
    <t xml:space="preserve">  beta  =  SUM[(t - t_bar)(y - y_bar)]  /  SUM[(t - t_bar)^2]</t>
  </si>
  <si>
    <t xml:space="preserve">  alpha =  y_bar  -  beta * t_bar</t>
  </si>
  <si>
    <t xml:space="preserve">  Where:</t>
  </si>
  <si>
    <t xml:space="preserve">    t_bar = mean of t = (0+1+2+...+9) / 10 = 4.5</t>
  </si>
  <si>
    <t xml:space="preserve">    y_bar = mean of the 10 known values of y</t>
  </si>
  <si>
    <t xml:space="preserve">  Goodness of Fit:</t>
  </si>
  <si>
    <t xml:space="preserve">    R^2 = 1 - [ SUM(y - y_hat)^2 / SUM(y - y_bar)^2 ]</t>
  </si>
  <si>
    <t xml:space="preserve">  CPI INFLATION FORECAST</t>
  </si>
  <si>
    <t xml:space="preserve">  Known values (Apr 2025 to Jan 2026):</t>
  </si>
  <si>
    <t xml:space="preserve">    t=0  Apr 2025 : 3.34%</t>
  </si>
  <si>
    <t xml:space="preserve">    t=1  May 2025 : 3.03%</t>
  </si>
  <si>
    <t xml:space="preserve">    t=2  Jun 2025 : 2.31%</t>
  </si>
  <si>
    <t xml:space="preserve">    t=3  Jul 2025 : 1.62%</t>
  </si>
  <si>
    <t xml:space="preserve">    t=4  Aug 2025 : 2.01%</t>
  </si>
  <si>
    <t xml:space="preserve">    t=5  Sep 2025 : 1.41%</t>
  </si>
  <si>
    <t xml:space="preserve">    t=6  Oct 2025 : 0.04%</t>
  </si>
  <si>
    <t xml:space="preserve">    t=7  Nov 2025 : 0.49%</t>
  </si>
  <si>
    <t xml:space="preserve">    t=8  Dec 2025 : 1.17%</t>
  </si>
  <si>
    <t xml:space="preserve">    t=9  Jan 2026 : 2.74%</t>
  </si>
  <si>
    <t xml:space="preserve">  y_bar (CPI) = 1.816%</t>
  </si>
  <si>
    <t xml:space="preserve">  t_bar       = 4.5</t>
  </si>
  <si>
    <t xml:space="preserve">  Estimated coefficients:</t>
  </si>
  <si>
    <t xml:space="preserve">    beta  (slope)     = -0.1992  %/month</t>
  </si>
  <si>
    <t xml:space="preserve">    alpha (intercept) =  2.7122</t>
  </si>
  <si>
    <t xml:space="preserve">  Forecast:</t>
  </si>
  <si>
    <t xml:space="preserve">    Feb 2026 (t=10):  y = 2.7122 + (-0.1992 * 10) = 0.72%</t>
  </si>
  <si>
    <t xml:space="preserve">    Mar 2026 (t=11):  y = 2.7122 + (-0.1992 * 11) = 0.52%</t>
  </si>
  <si>
    <t xml:space="preserve">  R^2 = 0.313</t>
  </si>
  <si>
    <t xml:space="preserve">  Interpretation: Model explains ~31% of within-FY CPI variation.</t>
  </si>
  <si>
    <t xml:space="preserve">                  Negative slope reflects the sharp disinflation trend in FY 2025-26.</t>
  </si>
  <si>
    <t xml:space="preserve">  USD/INR EXCHANGE RATE FORECAST</t>
  </si>
  <si>
    <t xml:space="preserve">    t=0  Apr 2025 : Rs. 84.60</t>
  </si>
  <si>
    <t xml:space="preserve">    t=1  May 2025 : Rs. 84.56</t>
  </si>
  <si>
    <t xml:space="preserve">    t=2  Jun 2025 : Rs. 84.61</t>
  </si>
  <si>
    <t xml:space="preserve">    t=3  Jul 2025 : Rs. 84.71</t>
  </si>
  <si>
    <t xml:space="preserve">    t=4  Aug 2025 : Rs. 84.13</t>
  </si>
  <si>
    <t xml:space="preserve">    t=5  Sep 2025 : Rs. 83.89</t>
  </si>
  <si>
    <t xml:space="preserve">    t=6  Oct 2025 : Rs. 84.08</t>
  </si>
  <si>
    <t xml:space="preserve">    t=7  Nov 2025 : Rs. 84.40</t>
  </si>
  <si>
    <t xml:space="preserve">    t=8  Dec 2025 : Rs. 85.10</t>
  </si>
  <si>
    <t xml:space="preserve">    t=9  Jan 2026 : Rs. 90.79</t>
  </si>
  <si>
    <t xml:space="preserve">  y_bar (INR) = 85.087</t>
  </si>
  <si>
    <t xml:space="preserve">    beta  (slope)     = +0.3413  Rs/month</t>
  </si>
  <si>
    <t xml:space="preserve">    alpha (intercept) = 83.5513</t>
  </si>
  <si>
    <t xml:space="preserve">    Feb 2026 (t=10):  y = 83.5513 + (0.3413 * 10) = Rs. 86.96</t>
  </si>
  <si>
    <t xml:space="preserve">    Mar 2026 (t=11):  y = 83.5513 + (0.3413 * 11) = Rs. 87.31</t>
  </si>
  <si>
    <t xml:space="preserve">  R^2 = 0.258</t>
  </si>
  <si>
    <t xml:space="preserve">  Interpretation: Model explains ~26% of within-FY INR variation.</t>
  </si>
  <si>
    <t xml:space="preserve">                  Positive slope reflects gradual rupee depreciation trend.</t>
  </si>
  <si>
    <t xml:space="preserve">                  Note: Jan 2026 spike to Rs. 90.79 pulled the forecast upward.</t>
  </si>
  <si>
    <t xml:space="preserve">  FINAL FORECASTED VALUES</t>
  </si>
  <si>
    <t xml:space="preserve">             Feb 2026      Mar 2026</t>
  </si>
  <si>
    <t xml:space="preserve">  CPI  :     0.72%         0.52%</t>
  </si>
  <si>
    <t xml:space="preserve">  INR  :     Rs. 86.96     Rs. 87.31</t>
  </si>
  <si>
    <t>CPI Inflation
YoY (%)</t>
  </si>
  <si>
    <t>USD/INR
(Quarterly Avg)</t>
  </si>
  <si>
    <t>zz</t>
  </si>
  <si>
    <t>2014–15</t>
  </si>
  <si>
    <t>2015–16</t>
  </si>
  <si>
    <t>2016–17</t>
  </si>
  <si>
    <t>2017–18</t>
  </si>
  <si>
    <t>2018–19</t>
  </si>
  <si>
    <t>2019–20</t>
  </si>
  <si>
    <t>2020–21</t>
  </si>
  <si>
    <t>2021–22</t>
  </si>
  <si>
    <t>2022–23</t>
  </si>
  <si>
    <t>2023–24</t>
  </si>
  <si>
    <t>2024–25</t>
  </si>
  <si>
    <t>2025–26</t>
  </si>
  <si>
    <t xml:space="preserve">2024-25 </t>
  </si>
  <si>
    <t xml:space="preserve">2025-26 </t>
  </si>
  <si>
    <t>GST / Indirect Taxes</t>
  </si>
  <si>
    <t>Customs Duties</t>
  </si>
  <si>
    <t>Non-Tax Revenue</t>
  </si>
  <si>
    <t>Other Receipts</t>
  </si>
  <si>
    <t>Central Sector Schemes</t>
  </si>
  <si>
    <t>Centrally Sponsored Schemes</t>
  </si>
  <si>
    <t>Subsidies</t>
  </si>
  <si>
    <t>Other Expenditure</t>
  </si>
  <si>
    <t>FY</t>
  </si>
  <si>
    <t>Amount (paise per ₹1)</t>
  </si>
  <si>
    <t>States' Share of Taxes</t>
  </si>
  <si>
    <t>Pensions (Civil)</t>
  </si>
  <si>
    <t>Union Excise Duties</t>
  </si>
  <si>
    <t>Borrowings &amp;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</si>
</sst>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1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</font>
    <font>
      <sz val="10"/>
      <name val="Arial"/>
    </font>
    <font>
      <sz val="10"/>
      <color rgb="FF000000"/>
      <name val="Arial"/>
    </font>
    <font>
      <sz val="10"/>
      <color rgb="FF375623"/>
      <name val="Arial"/>
    </font>
    <font>
      <sz val="10"/>
      <color rgb="FFC00000"/>
      <name val="Arial"/>
    </font>
    <font>
      <b/>
      <sz val="9"/>
      <name val="Arial"/>
    </font>
    <font>
      <i/>
      <sz val="9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9E1F2"/>
      </patternFill>
    </fill>
    <fill>
      <patternFill patternType="solid">
        <fgColor rgb="FFFFE7C6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31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 style="thin">
        <color rgb="FFB0B0B0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888888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medium">
        <color rgb="FF888888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medium">
        <color rgb="FF888888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medium">
        <color rgb="FF888888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121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0" fontId="0" fillId="0" borderId="0" xfId="0" applyNumberFormat="1"/>
    <xf numFmtId="0" fontId="5" fillId="0" borderId="0" xfId="0" applyFont="1"/>
    <xf numFmtId="3" fontId="5" fillId="0" borderId="0" xfId="0" applyNumberFormat="1" applyFont="1"/>
    <xf numFmtId="0" fontId="6" fillId="2" borderId="1" xfId="0" applyFont="1" applyFill="1" applyBorder="1" applyAlignment="1">
      <alignment horizontal="left" vertical="center"/>
    </xf>
    <xf numFmtId="3" fontId="6" fillId="2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/>
    </xf>
    <xf numFmtId="3" fontId="6" fillId="3" borderId="1" xfId="0" applyNumberFormat="1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3" fontId="6" fillId="2" borderId="3" xfId="0" applyNumberFormat="1" applyFont="1" applyFill="1" applyBorder="1" applyAlignment="1">
      <alignment horizontal="right" vertical="center"/>
    </xf>
    <xf numFmtId="3" fontId="6" fillId="3" borderId="3" xfId="0" applyNumberFormat="1" applyFont="1" applyFill="1" applyBorder="1" applyAlignment="1">
      <alignment horizontal="right" vertical="center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left" vertical="center"/>
    </xf>
    <xf numFmtId="3" fontId="6" fillId="3" borderId="8" xfId="0" applyNumberFormat="1" applyFont="1" applyFill="1" applyBorder="1" applyAlignment="1">
      <alignment horizontal="right" vertical="center"/>
    </xf>
    <xf numFmtId="3" fontId="6" fillId="3" borderId="9" xfId="0" applyNumberFormat="1" applyFont="1" applyFill="1" applyBorder="1" applyAlignment="1">
      <alignment horizontal="right" vertical="center"/>
    </xf>
    <xf numFmtId="0" fontId="9" fillId="6" borderId="10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2" fontId="9" fillId="7" borderId="10" xfId="0" applyNumberFormat="1" applyFont="1" applyFill="1" applyBorder="1" applyAlignment="1">
      <alignment horizontal="center" vertical="center"/>
    </xf>
    <xf numFmtId="2" fontId="9" fillId="6" borderId="10" xfId="0" applyNumberFormat="1" applyFont="1" applyFill="1" applyBorder="1" applyAlignment="1">
      <alignment horizontal="center" vertical="center"/>
    </xf>
    <xf numFmtId="2" fontId="9" fillId="8" borderId="10" xfId="0" applyNumberFormat="1" applyFont="1" applyFill="1" applyBorder="1" applyAlignment="1">
      <alignment horizontal="center" vertical="center"/>
    </xf>
    <xf numFmtId="0" fontId="9" fillId="10" borderId="10" xfId="0" applyFont="1" applyFill="1" applyBorder="1" applyAlignment="1">
      <alignment horizontal="center" vertical="center"/>
    </xf>
    <xf numFmtId="2" fontId="9" fillId="10" borderId="10" xfId="0" applyNumberFormat="1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2" fontId="9" fillId="5" borderId="10" xfId="0" applyNumberFormat="1" applyFont="1" applyFill="1" applyBorder="1" applyAlignment="1">
      <alignment horizontal="center" vertical="center"/>
    </xf>
    <xf numFmtId="0" fontId="13" fillId="0" borderId="0" xfId="0" applyFont="1"/>
    <xf numFmtId="0" fontId="15" fillId="9" borderId="10" xfId="0" applyFont="1" applyFill="1" applyBorder="1" applyAlignment="1">
      <alignment horizontal="center" vertical="center" wrapText="1"/>
    </xf>
    <xf numFmtId="0" fontId="16" fillId="11" borderId="10" xfId="0" applyFont="1" applyFill="1" applyBorder="1" applyAlignment="1">
      <alignment horizontal="center" vertical="center"/>
    </xf>
    <xf numFmtId="2" fontId="10" fillId="11" borderId="10" xfId="0" applyNumberFormat="1" applyFont="1" applyFill="1" applyBorder="1" applyAlignment="1">
      <alignment horizontal="center" vertical="center"/>
    </xf>
    <xf numFmtId="164" fontId="10" fillId="11" borderId="10" xfId="0" applyNumberFormat="1" applyFont="1" applyFill="1" applyBorder="1" applyAlignment="1">
      <alignment horizontal="center" vertical="center"/>
    </xf>
    <xf numFmtId="0" fontId="16" fillId="12" borderId="10" xfId="0" applyFont="1" applyFill="1" applyBorder="1" applyAlignment="1">
      <alignment horizontal="center" vertical="center"/>
    </xf>
    <xf numFmtId="2" fontId="10" fillId="12" borderId="10" xfId="0" applyNumberFormat="1" applyFont="1" applyFill="1" applyBorder="1" applyAlignment="1">
      <alignment horizontal="center" vertical="center"/>
    </xf>
    <xf numFmtId="164" fontId="11" fillId="12" borderId="10" xfId="0" applyNumberFormat="1" applyFont="1" applyFill="1" applyBorder="1" applyAlignment="1">
      <alignment horizontal="center" vertical="center"/>
    </xf>
    <xf numFmtId="164" fontId="12" fillId="12" borderId="10" xfId="0" applyNumberFormat="1" applyFont="1" applyFill="1" applyBorder="1" applyAlignment="1">
      <alignment horizontal="center" vertical="center"/>
    </xf>
    <xf numFmtId="164" fontId="11" fillId="11" borderId="10" xfId="0" applyNumberFormat="1" applyFont="1" applyFill="1" applyBorder="1" applyAlignment="1">
      <alignment horizontal="center" vertical="center"/>
    </xf>
    <xf numFmtId="164" fontId="12" fillId="11" borderId="10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16" fillId="13" borderId="10" xfId="0" applyFont="1" applyFill="1" applyBorder="1" applyAlignment="1">
      <alignment horizontal="center" vertical="center"/>
    </xf>
    <xf numFmtId="2" fontId="10" fillId="13" borderId="10" xfId="0" applyNumberFormat="1" applyFont="1" applyFill="1" applyBorder="1" applyAlignment="1">
      <alignment horizontal="center" vertical="center"/>
    </xf>
    <xf numFmtId="164" fontId="11" fillId="13" borderId="10" xfId="0" applyNumberFormat="1" applyFont="1" applyFill="1" applyBorder="1" applyAlignment="1">
      <alignment horizontal="center" vertical="center"/>
    </xf>
    <xf numFmtId="164" fontId="12" fillId="13" borderId="10" xfId="0" applyNumberFormat="1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2" fontId="10" fillId="7" borderId="10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2" fontId="10" fillId="6" borderId="11" xfId="0" applyNumberFormat="1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2" fontId="10" fillId="6" borderId="10" xfId="0" applyNumberFormat="1" applyFont="1" applyFill="1" applyBorder="1" applyAlignment="1">
      <alignment horizontal="center" vertical="center"/>
    </xf>
    <xf numFmtId="0" fontId="10" fillId="10" borderId="11" xfId="0" applyFont="1" applyFill="1" applyBorder="1" applyAlignment="1">
      <alignment horizontal="center" vertical="center"/>
    </xf>
    <xf numFmtId="2" fontId="10" fillId="10" borderId="11" xfId="0" applyNumberFormat="1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center" vertical="center"/>
    </xf>
    <xf numFmtId="2" fontId="10" fillId="10" borderId="10" xfId="0" applyNumberFormat="1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2" fontId="10" fillId="8" borderId="11" xfId="0" applyNumberFormat="1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2" fontId="10" fillId="8" borderId="10" xfId="0" applyNumberFormat="1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2" fontId="10" fillId="5" borderId="11" xfId="0" applyNumberFormat="1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2" fontId="10" fillId="5" borderId="10" xfId="0" applyNumberFormat="1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2" fontId="10" fillId="7" borderId="11" xfId="0" applyNumberFormat="1" applyFont="1" applyFill="1" applyBorder="1" applyAlignment="1">
      <alignment horizontal="center" vertical="center"/>
    </xf>
    <xf numFmtId="0" fontId="10" fillId="14" borderId="11" xfId="0" applyFont="1" applyFill="1" applyBorder="1" applyAlignment="1">
      <alignment horizontal="center" vertical="center"/>
    </xf>
    <xf numFmtId="2" fontId="10" fillId="14" borderId="11" xfId="0" applyNumberFormat="1" applyFont="1" applyFill="1" applyBorder="1" applyAlignment="1">
      <alignment horizontal="center" vertical="center"/>
    </xf>
    <xf numFmtId="0" fontId="10" fillId="14" borderId="10" xfId="0" applyFont="1" applyFill="1" applyBorder="1" applyAlignment="1">
      <alignment horizontal="center" vertical="center"/>
    </xf>
    <xf numFmtId="2" fontId="10" fillId="14" borderId="10" xfId="0" applyNumberFormat="1" applyFont="1" applyFill="1" applyBorder="1" applyAlignment="1">
      <alignment horizontal="center" vertical="center"/>
    </xf>
    <xf numFmtId="0" fontId="10" fillId="15" borderId="11" xfId="0" applyFont="1" applyFill="1" applyBorder="1" applyAlignment="1">
      <alignment horizontal="center" vertical="center"/>
    </xf>
    <xf numFmtId="2" fontId="10" fillId="15" borderId="11" xfId="0" applyNumberFormat="1" applyFont="1" applyFill="1" applyBorder="1" applyAlignment="1">
      <alignment horizontal="center" vertical="center"/>
    </xf>
    <xf numFmtId="0" fontId="10" fillId="15" borderId="10" xfId="0" applyFont="1" applyFill="1" applyBorder="1" applyAlignment="1">
      <alignment horizontal="center" vertical="center"/>
    </xf>
    <xf numFmtId="2" fontId="10" fillId="15" borderId="10" xfId="0" applyNumberFormat="1" applyFont="1" applyFill="1" applyBorder="1" applyAlignment="1">
      <alignment horizontal="center" vertical="center"/>
    </xf>
    <xf numFmtId="0" fontId="14" fillId="0" borderId="0" xfId="0" applyFont="1"/>
    <xf numFmtId="0" fontId="0" fillId="0" borderId="0" xfId="0"/>
    <xf numFmtId="0" fontId="18" fillId="17" borderId="12" xfId="0" applyFont="1" applyFill="1" applyBorder="1" applyAlignment="1">
      <alignment horizontal="left" vertical="center"/>
    </xf>
    <xf numFmtId="0" fontId="18" fillId="18" borderId="12" xfId="0" applyFont="1" applyFill="1" applyBorder="1" applyAlignment="1">
      <alignment horizontal="left" vertical="center"/>
    </xf>
    <xf numFmtId="0" fontId="18" fillId="17" borderId="13" xfId="0" applyFont="1" applyFill="1" applyBorder="1" applyAlignment="1">
      <alignment horizontal="center" vertical="center"/>
    </xf>
    <xf numFmtId="0" fontId="18" fillId="18" borderId="13" xfId="0" applyFont="1" applyFill="1" applyBorder="1" applyAlignment="1">
      <alignment horizontal="center" vertical="center"/>
    </xf>
    <xf numFmtId="2" fontId="18" fillId="17" borderId="14" xfId="0" applyNumberFormat="1" applyFont="1" applyFill="1" applyBorder="1" applyAlignment="1">
      <alignment horizontal="center" vertical="center"/>
    </xf>
    <xf numFmtId="2" fontId="18" fillId="18" borderId="14" xfId="0" applyNumberFormat="1" applyFont="1" applyFill="1" applyBorder="1" applyAlignment="1">
      <alignment horizontal="center" vertical="center"/>
    </xf>
    <xf numFmtId="0" fontId="7" fillId="16" borderId="15" xfId="0" applyFont="1" applyFill="1" applyBorder="1" applyAlignment="1">
      <alignment horizontal="center" vertical="center"/>
    </xf>
    <xf numFmtId="0" fontId="7" fillId="16" borderId="16" xfId="0" applyFont="1" applyFill="1" applyBorder="1" applyAlignment="1">
      <alignment horizontal="center" vertical="center"/>
    </xf>
    <xf numFmtId="0" fontId="7" fillId="16" borderId="17" xfId="0" applyFont="1" applyFill="1" applyBorder="1" applyAlignment="1">
      <alignment horizontal="center" vertical="center"/>
    </xf>
    <xf numFmtId="0" fontId="18" fillId="18" borderId="18" xfId="0" applyFont="1" applyFill="1" applyBorder="1" applyAlignment="1">
      <alignment horizontal="center" vertical="center"/>
    </xf>
    <xf numFmtId="0" fontId="18" fillId="18" borderId="19" xfId="0" applyFont="1" applyFill="1" applyBorder="1" applyAlignment="1">
      <alignment horizontal="left" vertical="center"/>
    </xf>
    <xf numFmtId="2" fontId="18" fillId="18" borderId="20" xfId="0" applyNumberFormat="1" applyFont="1" applyFill="1" applyBorder="1" applyAlignment="1">
      <alignment horizontal="center" vertical="center"/>
    </xf>
    <xf numFmtId="0" fontId="17" fillId="7" borderId="21" xfId="0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10" borderId="22" xfId="0" applyFont="1" applyFill="1" applyBorder="1" applyAlignment="1">
      <alignment horizontal="center" vertical="center"/>
    </xf>
    <xf numFmtId="0" fontId="16" fillId="8" borderId="22" xfId="0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0" fontId="16" fillId="7" borderId="22" xfId="0" applyFont="1" applyFill="1" applyBorder="1" applyAlignment="1">
      <alignment horizontal="center" vertical="center"/>
    </xf>
    <xf numFmtId="0" fontId="17" fillId="14" borderId="22" xfId="0" applyFont="1" applyFill="1" applyBorder="1" applyAlignment="1">
      <alignment horizontal="center" vertical="center"/>
    </xf>
    <xf numFmtId="0" fontId="17" fillId="15" borderId="22" xfId="0" applyFont="1" applyFill="1" applyBorder="1" applyAlignment="1">
      <alignment horizontal="center" vertical="center"/>
    </xf>
    <xf numFmtId="2" fontId="10" fillId="7" borderId="23" xfId="0" applyNumberFormat="1" applyFont="1" applyFill="1" applyBorder="1" applyAlignment="1">
      <alignment horizontal="center" vertical="center"/>
    </xf>
    <xf numFmtId="2" fontId="10" fillId="6" borderId="24" xfId="0" applyNumberFormat="1" applyFont="1" applyFill="1" applyBorder="1" applyAlignment="1">
      <alignment horizontal="center" vertical="center"/>
    </xf>
    <xf numFmtId="2" fontId="10" fillId="6" borderId="23" xfId="0" applyNumberFormat="1" applyFont="1" applyFill="1" applyBorder="1" applyAlignment="1">
      <alignment horizontal="center" vertical="center"/>
    </xf>
    <xf numFmtId="2" fontId="10" fillId="10" borderId="24" xfId="0" applyNumberFormat="1" applyFont="1" applyFill="1" applyBorder="1" applyAlignment="1">
      <alignment horizontal="center" vertical="center"/>
    </xf>
    <xf numFmtId="2" fontId="10" fillId="10" borderId="23" xfId="0" applyNumberFormat="1" applyFont="1" applyFill="1" applyBorder="1" applyAlignment="1">
      <alignment horizontal="center" vertical="center"/>
    </xf>
    <xf numFmtId="2" fontId="10" fillId="8" borderId="24" xfId="0" applyNumberFormat="1" applyFont="1" applyFill="1" applyBorder="1" applyAlignment="1">
      <alignment horizontal="center" vertical="center"/>
    </xf>
    <xf numFmtId="2" fontId="10" fillId="8" borderId="23" xfId="0" applyNumberFormat="1" applyFont="1" applyFill="1" applyBorder="1" applyAlignment="1">
      <alignment horizontal="center" vertical="center"/>
    </xf>
    <xf numFmtId="2" fontId="10" fillId="5" borderId="24" xfId="0" applyNumberFormat="1" applyFont="1" applyFill="1" applyBorder="1" applyAlignment="1">
      <alignment horizontal="center" vertical="center"/>
    </xf>
    <xf numFmtId="2" fontId="10" fillId="5" borderId="23" xfId="0" applyNumberFormat="1" applyFont="1" applyFill="1" applyBorder="1" applyAlignment="1">
      <alignment horizontal="center" vertical="center"/>
    </xf>
    <xf numFmtId="2" fontId="10" fillId="7" borderId="24" xfId="0" applyNumberFormat="1" applyFont="1" applyFill="1" applyBorder="1" applyAlignment="1">
      <alignment horizontal="center" vertical="center"/>
    </xf>
    <xf numFmtId="2" fontId="10" fillId="14" borderId="24" xfId="0" applyNumberFormat="1" applyFont="1" applyFill="1" applyBorder="1" applyAlignment="1">
      <alignment horizontal="center" vertical="center"/>
    </xf>
    <xf numFmtId="2" fontId="10" fillId="14" borderId="23" xfId="0" applyNumberFormat="1" applyFont="1" applyFill="1" applyBorder="1" applyAlignment="1">
      <alignment horizontal="center" vertical="center"/>
    </xf>
    <xf numFmtId="2" fontId="10" fillId="15" borderId="24" xfId="0" applyNumberFormat="1" applyFont="1" applyFill="1" applyBorder="1" applyAlignment="1">
      <alignment horizontal="center" vertical="center"/>
    </xf>
    <xf numFmtId="2" fontId="10" fillId="15" borderId="23" xfId="0" applyNumberFormat="1" applyFont="1" applyFill="1" applyBorder="1" applyAlignment="1">
      <alignment horizontal="center" vertical="center"/>
    </xf>
    <xf numFmtId="0" fontId="8" fillId="9" borderId="25" xfId="0" applyFont="1" applyFill="1" applyBorder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  <xf numFmtId="0" fontId="8" fillId="9" borderId="27" xfId="0" applyFont="1" applyFill="1" applyBorder="1" applyAlignment="1">
      <alignment horizontal="center" vertical="center" wrapText="1"/>
    </xf>
    <xf numFmtId="0" fontId="17" fillId="15" borderId="28" xfId="0" applyFont="1" applyFill="1" applyBorder="1" applyAlignment="1">
      <alignment horizontal="center" vertical="center"/>
    </xf>
    <xf numFmtId="0" fontId="10" fillId="15" borderId="29" xfId="0" applyFont="1" applyFill="1" applyBorder="1" applyAlignment="1">
      <alignment horizontal="center" vertical="center"/>
    </xf>
    <xf numFmtId="2" fontId="10" fillId="15" borderId="29" xfId="0" applyNumberFormat="1" applyFont="1" applyFill="1" applyBorder="1" applyAlignment="1">
      <alignment horizontal="center" vertical="center"/>
    </xf>
    <xf numFmtId="2" fontId="10" fillId="15" borderId="3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2" formatCode="0.00"/>
      <fill>
        <patternFill patternType="solid">
          <fgColor indexed="64"/>
          <bgColor rgb="FFFFE7C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2" formatCode="0.00"/>
      <fill>
        <patternFill patternType="solid">
          <fgColor indexed="64"/>
          <bgColor rgb="FFFFE7C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E7C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E7C6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BFBFBF"/>
        </right>
        <top style="medium">
          <color rgb="FF888888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2E75B6"/>
          <bgColor rgb="FF2E75B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2" formatCode="0.00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2E75B6"/>
          <bgColor rgb="FF2E75B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2" formatCode="0.00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rgb="FFFFFFFF"/>
          <bgColor rgb="FFEBF3FB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0B0B0"/>
        </left>
        <right/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rgb="FFFFFFFF"/>
          <bgColor rgb="FFEBF3FB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EBF3FB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EBF3FB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0066CC"/>
          <bgColor rgb="FF2E75B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" formatCode="#,##0"/>
    </dxf>
    <dxf>
      <font>
        <b val="0"/>
      </font>
    </dxf>
    <dxf>
      <font>
        <b val="0"/>
      </font>
    </dxf>
    <dxf>
      <font>
        <b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14" formatCode="0.00%"/>
    </dxf>
    <dxf>
      <numFmt numFmtId="14" formatCode="0.00%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A37316F-ACE3-514B-B04E-C9F49800028A}" name="Table7" displayName="Table7" ref="A1:J13" totalsRowShown="0">
  <autoFilter ref="A1:J13" xr:uid="{BA37316F-ACE3-514B-B04E-C9F49800028A}"/>
  <tableColumns count="10">
    <tableColumn id="1" xr3:uid="{22C09738-7AE7-DE41-AF81-1D8063767DA5}" name="Financial Year"/>
    <tableColumn id="2" xr3:uid="{B9A1E502-EDD0-DA4E-A237-D97C8E596E7A}" name="Total Revenue(₹ crore)"/>
    <tableColumn id="3" xr3:uid="{09F5D94D-65E2-5D46-B81B-73992E9625D5}" name="Tax Revenue(₹ crore)"/>
    <tableColumn id="4" xr3:uid="{68C0F96B-A550-6B41-9CFE-B0CA69426FAB}" name="Non-Tax Revenue(₹ crore)"/>
    <tableColumn id="5" xr3:uid="{25D0CCDB-CE4D-B644-A8D4-413A022C839B}" name="Capital Receipts(₹ crore)"/>
    <tableColumn id="6" xr3:uid="{74D8334D-EA92-5744-B458-D9751E6D9F1D}" name="Total Expenditure(₹ crore)"/>
    <tableColumn id="7" xr3:uid="{0E502E22-D8C1-264D-909B-03345EB58CDB}" name="Revenue Expenditure(₹ crore)"/>
    <tableColumn id="8" xr3:uid="{084578AA-93D1-804C-A69C-E3825F356E13}" name="Capital Expenditure(₹ crore)"/>
    <tableColumn id="9" xr3:uid="{C7D971B2-8699-DB43-9136-D0013B2814C9}" name="Fiscal Deficit(₹ crore)"/>
    <tableColumn id="11" xr3:uid="{04B3E8C4-4931-B241-ADD3-EF0BF4D0EAED}" name="Nominal GDP(₹ crore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AF95B28-1C21-8D48-826E-90993A97D2DE}" name="Table9" displayName="Table9" ref="A1:D13" totalsRowShown="0">
  <autoFilter ref="A1:D13" xr:uid="{1AF95B28-1C21-8D48-826E-90993A97D2DE}"/>
  <tableColumns count="4">
    <tableColumn id="1" xr3:uid="{CB685F98-D9AD-9E45-A2F0-20142906D70E}" name="Finacial year"/>
    <tableColumn id="2" xr3:uid="{5CC5F237-D1E5-8E46-A55B-B6DB3B1CEB7E}" name="Revenue Growth" dataDxfId="41">
      <calculatedColumnFormula>(Table7[[#This Row],[Total Revenue(₹ crore)]]-Budget_Main!B1)/Table7[[#This Row],[Total Revenue(₹ crore)]]</calculatedColumnFormula>
    </tableColumn>
    <tableColumn id="3" xr3:uid="{ADD7C1D8-3501-2846-9C4C-70CEE31E5E3C}" name="Fiscal Deficit % GDP" dataDxfId="40"/>
    <tableColumn id="5" xr3:uid="{0271A84C-7B18-5C4D-B45A-9073A3EE453F}" name="Captinal_expd of Total expd" dataDxfId="39">
      <calculatedColumnFormula>Table7[[#This Row],[Capital Expenditure(₹ crore)]]/Table7[[#This Row],[Total Expenditure(₹ crore)]]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F6C892A-642C-574E-92A5-F109C37067B0}" name="Table8" displayName="Table8" ref="A1:D85" totalsRowShown="0" headerRowDxfId="38">
  <autoFilter ref="A1:D85" xr:uid="{8F6C892A-642C-574E-92A5-F109C37067B0}"/>
  <tableColumns count="4">
    <tableColumn id="1" xr3:uid="{234CD73C-EDAA-5F43-BBFC-EC24D6A42D4D}" name="Financial Year" dataDxfId="37"/>
    <tableColumn id="2" xr3:uid="{082B79CA-E787-4F41-A9B8-8F0AA118F16E}" name="Category" dataDxfId="36"/>
    <tableColumn id="3" xr3:uid="{FC46623C-6072-AE4B-8360-7094215A043F}" name="Sub-Head" dataDxfId="35"/>
    <tableColumn id="4" xr3:uid="{6F128394-B982-4E4F-82F3-25FA01B080F0}" name="Value (₹ Crore)" dataDxfId="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A57804F-C1EC-D74F-B2EF-0030F4229446}" name="Table5" displayName="Table5" ref="A1:D85" totalsRowShown="0" dataDxfId="33">
  <autoFilter ref="A1:D85" xr:uid="{3A57804F-C1EC-D74F-B2EF-0030F4229446}"/>
  <tableColumns count="4">
    <tableColumn id="1" xr3:uid="{5DE50AC7-4AA8-CD49-94CC-FE63A2C4B062}" name="Financial Year" dataDxfId="32"/>
    <tableColumn id="2" xr3:uid="{96B2DD53-0A74-104C-956E-C102D9CAB714}" name="Sector" dataDxfId="31"/>
    <tableColumn id="3" xr3:uid="{37C426A5-BDF7-184E-A763-37D4796852A0}" name="Expenditure Type" dataDxfId="30"/>
    <tableColumn id="4" xr3:uid="{8BA1A88A-DAB2-474D-9964-A9CF8FB21994}" name="Amount (₹ Crore)" dataDxfId="2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BEE1EEF-69B1-2A4A-86E6-67751FAFB29C}" name="Table10" displayName="Table10" ref="A1:D49" totalsRowShown="0" headerRowDxfId="0" headerRowBorderDxfId="5" tableBorderDxfId="6">
  <autoFilter ref="A1:D49" xr:uid="{6BEE1EEF-69B1-2A4A-86E6-67751FAFB29C}"/>
  <tableColumns count="4">
    <tableColumn id="1" xr3:uid="{3FE48502-2CC8-BC44-A904-1F9C2E309775}" name="Financial Year" dataDxfId="4"/>
    <tableColumn id="2" xr3:uid="{25D84F7B-6933-CD43-A985-B6CB0BB1886F}" name="Quarter" dataDxfId="3"/>
    <tableColumn id="3" xr3:uid="{2886562A-98AA-E744-B150-95AB011C6182}" name="CPI Inflation_x000a_YoY (%)" dataDxfId="2"/>
    <tableColumn id="4" xr3:uid="{FC1500CB-23FA-F546-AEC1-D33606E3464E}" name="USD/INR_x000a_(Quarterly Avg)" dataDxfId="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B01B13-C779-634E-832E-9FB1695F0530}" name="Table3" displayName="Table3" ref="A1:C97" totalsRowShown="0" headerRowDxfId="14" headerRowBorderDxfId="19" tableBorderDxfId="20" totalsRowBorderDxfId="18">
  <autoFilter ref="A1:C97" xr:uid="{EBA13AE7-39CD-4049-85FD-B6AF1799C1B2}"/>
  <sortState xmlns:xlrd2="http://schemas.microsoft.com/office/spreadsheetml/2017/richdata2" ref="A2:C97">
    <sortCondition ref="A1:A97"/>
  </sortState>
  <tableColumns count="3">
    <tableColumn id="1" xr3:uid="{589BF6EB-324B-0543-9B99-765836913039}" name="FY" dataDxfId="17"/>
    <tableColumn id="2" xr3:uid="{30FA57AD-A1D1-3544-BF06-50DA1FD3EE99}" name="Category" dataDxfId="16"/>
    <tableColumn id="3" xr3:uid="{2AE03C0F-E37D-3843-9512-5FB37919F6B6}" name="Amount (paise per ₹1)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960890-3C80-2B4A-B411-9016DF622D77}" name="Table4" displayName="Table4" ref="A1:C97" totalsRowShown="0" headerRowDxfId="7" headerRowBorderDxfId="12" tableBorderDxfId="13" totalsRowBorderDxfId="11">
  <autoFilter ref="A1:C97" xr:uid="{FB3EC6FC-7827-8D40-9EE8-1C5D356FF7F3}"/>
  <sortState xmlns:xlrd2="http://schemas.microsoft.com/office/spreadsheetml/2017/richdata2" ref="A2:C97">
    <sortCondition ref="A1:A97"/>
  </sortState>
  <tableColumns count="3">
    <tableColumn id="1" xr3:uid="{3A00F9C6-993B-A742-8A04-F54AEE7EABF5}" name="FY" dataDxfId="10"/>
    <tableColumn id="2" xr3:uid="{9B63D65E-514D-B749-B4A9-D266FFC9F7AF}" name="Category" dataDxfId="9"/>
    <tableColumn id="3" xr3:uid="{A44E7B89-84C4-8346-8662-48C31472E1AB}" name="Amount (paise per ₹1)" dataDxfId="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87E239F-8715-DB43-BE38-A3E4FBCB7884}" name="Table14" displayName="Table14" ref="A1:D421" totalsRowShown="0" headerRowDxfId="28" headerRowBorderDxfId="27" tableBorderDxfId="26" totalsRowBorderDxfId="25">
  <autoFilter ref="A1:D421" xr:uid="{987E239F-8715-DB43-BE38-A3E4FBCB7884}"/>
  <tableColumns count="4">
    <tableColumn id="1" xr3:uid="{10584C11-0D01-BF47-9060-5BF4A9ECE970}" name="Financial Year" dataDxfId="24"/>
    <tableColumn id="2" xr3:uid="{312A824C-106E-6F4E-9638-B5FBA66A446E}" name="State / Union Territory" dataDxfId="23"/>
    <tableColumn id="3" xr3:uid="{19F9BD47-50B2-204F-966F-486215994EA2}" name="Revenue Collected (₹ Crores)" dataDxfId="22"/>
    <tableColumn id="4" xr3:uid="{E25F82F8-728D-BE42-87FD-7B65A979C1F2}" name="Expenditure (₹ Crores)" dataDxfId="2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FA2FAC9-9C9A-7147-BE22-4F5572208E22}" name="Table6" displayName="Table6" ref="A1:C14" totalsRowShown="0" headerRowDxfId="42">
  <autoFilter ref="A1:C14" xr:uid="{4FA2FAC9-9C9A-7147-BE22-4F5572208E22}"/>
  <tableColumns count="3">
    <tableColumn id="1" xr3:uid="{1AEE0751-3D99-864C-92B6-D8C8E7B9BED7}" name="Financial_Year"/>
    <tableColumn id="2" xr3:uid="{961112BB-8E5E-A24B-8F29-F3C5701BC345}" name="Year_Start"/>
    <tableColumn id="3" xr3:uid="{02FB082D-CA7C-1C4E-A0EB-32113950D65B}" name="Year_E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2386E-D21C-234B-8DFF-7771317BBB4A}">
  <dimension ref="A1:Z112"/>
  <sheetViews>
    <sheetView showGridLines="0" topLeftCell="B1" zoomScale="111" zoomScaleNormal="66" workbookViewId="0">
      <selection activeCell="F63" sqref="F63"/>
    </sheetView>
  </sheetViews>
  <sheetFormatPr baseColWidth="10" defaultRowHeight="16" x14ac:dyDescent="0.2"/>
  <cols>
    <col min="6" max="6" width="55.1640625" customWidth="1"/>
    <col min="7" max="7" width="14.6640625" hidden="1" customWidth="1"/>
    <col min="8" max="8" width="0.33203125" hidden="1" customWidth="1"/>
    <col min="9" max="9" width="10.83203125" hidden="1" customWidth="1"/>
    <col min="10" max="10" width="0.1640625" hidden="1" customWidth="1"/>
    <col min="20" max="20" width="0.33203125" customWidth="1"/>
    <col min="21" max="21" width="30.33203125" customWidth="1"/>
    <col min="22" max="22" width="23.5" customWidth="1"/>
  </cols>
  <sheetData>
    <row r="1" spans="1:26" ht="32" x14ac:dyDescent="0.4">
      <c r="A1" s="4" t="s">
        <v>110</v>
      </c>
      <c r="K1" s="2" t="s">
        <v>113</v>
      </c>
      <c r="U1" t="s">
        <v>165</v>
      </c>
      <c r="Z1" t="s">
        <v>241</v>
      </c>
    </row>
    <row r="2" spans="1:26" ht="19" x14ac:dyDescent="0.25">
      <c r="A2" s="3" t="s">
        <v>6</v>
      </c>
      <c r="Z2" t="s">
        <v>242</v>
      </c>
    </row>
    <row r="3" spans="1:26" x14ac:dyDescent="0.2">
      <c r="K3" t="s">
        <v>114</v>
      </c>
      <c r="U3" s="2" t="s">
        <v>166</v>
      </c>
      <c r="Z3" t="s">
        <v>241</v>
      </c>
    </row>
    <row r="4" spans="1:26" x14ac:dyDescent="0.2">
      <c r="A4" t="s">
        <v>0</v>
      </c>
      <c r="K4" t="s">
        <v>115</v>
      </c>
    </row>
    <row r="5" spans="1:26" x14ac:dyDescent="0.2">
      <c r="K5" t="s">
        <v>116</v>
      </c>
      <c r="U5" s="2" t="s">
        <v>167</v>
      </c>
      <c r="V5" s="2" t="s">
        <v>168</v>
      </c>
      <c r="Z5" t="s">
        <v>243</v>
      </c>
    </row>
    <row r="6" spans="1:26" ht="19" x14ac:dyDescent="0.25">
      <c r="A6" s="3" t="s">
        <v>5</v>
      </c>
      <c r="K6" t="s">
        <v>117</v>
      </c>
      <c r="U6" t="s">
        <v>169</v>
      </c>
      <c r="V6" t="s">
        <v>170</v>
      </c>
    </row>
    <row r="7" spans="1:26" x14ac:dyDescent="0.2">
      <c r="K7" t="s">
        <v>118</v>
      </c>
      <c r="U7" t="s">
        <v>171</v>
      </c>
      <c r="V7" t="s">
        <v>172</v>
      </c>
      <c r="Z7" t="s">
        <v>240</v>
      </c>
    </row>
    <row r="8" spans="1:26" x14ac:dyDescent="0.2">
      <c r="A8" t="s">
        <v>1</v>
      </c>
      <c r="K8" s="2" t="s">
        <v>119</v>
      </c>
      <c r="U8" t="s">
        <v>173</v>
      </c>
      <c r="V8" t="s">
        <v>174</v>
      </c>
      <c r="Z8" t="s">
        <v>244</v>
      </c>
    </row>
    <row r="9" spans="1:26" x14ac:dyDescent="0.2">
      <c r="K9" s="2" t="s">
        <v>120</v>
      </c>
      <c r="U9" t="s">
        <v>19</v>
      </c>
      <c r="V9" t="s">
        <v>175</v>
      </c>
      <c r="Z9" t="s">
        <v>245</v>
      </c>
    </row>
    <row r="10" spans="1:26" x14ac:dyDescent="0.2">
      <c r="A10" t="s">
        <v>2</v>
      </c>
      <c r="K10" t="s">
        <v>121</v>
      </c>
      <c r="Z10" t="s">
        <v>246</v>
      </c>
    </row>
    <row r="11" spans="1:26" x14ac:dyDescent="0.2">
      <c r="Z11" t="s">
        <v>247</v>
      </c>
    </row>
    <row r="12" spans="1:26" x14ac:dyDescent="0.2">
      <c r="A12" t="s">
        <v>3</v>
      </c>
      <c r="U12" s="2" t="s">
        <v>176</v>
      </c>
      <c r="Z12" t="s">
        <v>248</v>
      </c>
    </row>
    <row r="13" spans="1:26" x14ac:dyDescent="0.2">
      <c r="Z13" t="s">
        <v>249</v>
      </c>
    </row>
    <row r="14" spans="1:26" x14ac:dyDescent="0.2">
      <c r="A14" t="s">
        <v>4</v>
      </c>
      <c r="K14" s="2" t="s">
        <v>122</v>
      </c>
      <c r="U14" s="2" t="s">
        <v>167</v>
      </c>
      <c r="V14" s="2" t="s">
        <v>168</v>
      </c>
      <c r="Z14" t="s">
        <v>250</v>
      </c>
    </row>
    <row r="15" spans="1:26" x14ac:dyDescent="0.2">
      <c r="U15" t="s">
        <v>177</v>
      </c>
      <c r="V15" t="s">
        <v>178</v>
      </c>
      <c r="Z15" t="s">
        <v>251</v>
      </c>
    </row>
    <row r="16" spans="1:26" x14ac:dyDescent="0.2">
      <c r="A16" t="s">
        <v>112</v>
      </c>
      <c r="K16" t="s">
        <v>123</v>
      </c>
      <c r="U16" t="s">
        <v>179</v>
      </c>
      <c r="V16" t="s">
        <v>180</v>
      </c>
      <c r="Z16" t="s">
        <v>252</v>
      </c>
    </row>
    <row r="17" spans="1:26" x14ac:dyDescent="0.2">
      <c r="K17" t="s">
        <v>124</v>
      </c>
      <c r="U17" t="s">
        <v>181</v>
      </c>
      <c r="V17" t="s">
        <v>182</v>
      </c>
      <c r="Z17" t="s">
        <v>253</v>
      </c>
    </row>
    <row r="18" spans="1:26" x14ac:dyDescent="0.2">
      <c r="A18" t="s">
        <v>64</v>
      </c>
      <c r="K18" t="s">
        <v>125</v>
      </c>
      <c r="U18" t="s">
        <v>183</v>
      </c>
      <c r="V18" t="s">
        <v>184</v>
      </c>
      <c r="Z18" t="s">
        <v>254</v>
      </c>
    </row>
    <row r="19" spans="1:26" x14ac:dyDescent="0.2">
      <c r="K19" t="s">
        <v>126</v>
      </c>
      <c r="Z19" t="s">
        <v>255</v>
      </c>
    </row>
    <row r="20" spans="1:26" x14ac:dyDescent="0.2">
      <c r="A20" t="s">
        <v>65</v>
      </c>
      <c r="K20" t="s">
        <v>127</v>
      </c>
      <c r="Z20" t="s">
        <v>256</v>
      </c>
    </row>
    <row r="21" spans="1:26" x14ac:dyDescent="0.2">
      <c r="K21" s="2" t="s">
        <v>128</v>
      </c>
      <c r="U21" s="2" t="s">
        <v>185</v>
      </c>
    </row>
    <row r="22" spans="1:26" x14ac:dyDescent="0.2">
      <c r="Z22" t="s">
        <v>257</v>
      </c>
    </row>
    <row r="23" spans="1:26" x14ac:dyDescent="0.2">
      <c r="U23" s="2" t="s">
        <v>167</v>
      </c>
      <c r="V23" s="2" t="s">
        <v>168</v>
      </c>
    </row>
    <row r="24" spans="1:26" x14ac:dyDescent="0.2">
      <c r="A24" s="34" t="s">
        <v>227</v>
      </c>
      <c r="U24" t="s">
        <v>186</v>
      </c>
      <c r="V24" t="s">
        <v>170</v>
      </c>
      <c r="Z24" t="s">
        <v>258</v>
      </c>
    </row>
    <row r="25" spans="1:26" x14ac:dyDescent="0.2">
      <c r="A25" s="78" t="s">
        <v>234</v>
      </c>
      <c r="B25" s="79"/>
      <c r="C25" s="79"/>
      <c r="D25" s="79"/>
      <c r="E25" s="79"/>
      <c r="F25" s="79"/>
      <c r="K25" s="2" t="s">
        <v>129</v>
      </c>
      <c r="U25" t="s">
        <v>187</v>
      </c>
      <c r="V25" t="s">
        <v>188</v>
      </c>
    </row>
    <row r="26" spans="1:26" x14ac:dyDescent="0.2">
      <c r="A26" s="78" t="s">
        <v>235</v>
      </c>
      <c r="B26" s="79"/>
      <c r="C26" s="79"/>
      <c r="D26" s="79"/>
      <c r="E26" s="79"/>
      <c r="F26" s="79"/>
      <c r="U26" t="s">
        <v>189</v>
      </c>
      <c r="V26" t="s">
        <v>190</v>
      </c>
      <c r="Z26" t="s">
        <v>259</v>
      </c>
    </row>
    <row r="27" spans="1:26" x14ac:dyDescent="0.2">
      <c r="A27" s="78" t="s">
        <v>232</v>
      </c>
      <c r="B27" s="79"/>
      <c r="C27" s="79"/>
      <c r="D27" s="79"/>
      <c r="E27" s="79"/>
      <c r="F27" s="79"/>
      <c r="K27" t="s">
        <v>130</v>
      </c>
      <c r="U27" t="s">
        <v>191</v>
      </c>
      <c r="V27" t="s">
        <v>192</v>
      </c>
      <c r="Z27" t="s">
        <v>260</v>
      </c>
    </row>
    <row r="28" spans="1:26" x14ac:dyDescent="0.2">
      <c r="A28" s="78" t="s">
        <v>236</v>
      </c>
      <c r="B28" s="79"/>
      <c r="C28" s="79"/>
      <c r="D28" s="79"/>
      <c r="E28" s="79"/>
      <c r="F28" s="79"/>
      <c r="K28" t="s">
        <v>131</v>
      </c>
      <c r="U28" t="s">
        <v>193</v>
      </c>
      <c r="V28" t="s">
        <v>194</v>
      </c>
      <c r="Z28" t="s">
        <v>259</v>
      </c>
    </row>
    <row r="29" spans="1:26" x14ac:dyDescent="0.2">
      <c r="A29" s="78" t="s">
        <v>237</v>
      </c>
      <c r="B29" s="79"/>
      <c r="C29" s="79"/>
      <c r="D29" s="79"/>
      <c r="E29" s="79"/>
      <c r="F29" s="79"/>
      <c r="K29" t="s">
        <v>132</v>
      </c>
    </row>
    <row r="30" spans="1:26" x14ac:dyDescent="0.2">
      <c r="A30" s="78" t="s">
        <v>238</v>
      </c>
      <c r="B30" s="79"/>
      <c r="C30" s="79"/>
      <c r="D30" s="79"/>
      <c r="E30" s="79"/>
      <c r="F30" s="79"/>
      <c r="K30" t="s">
        <v>133</v>
      </c>
      <c r="Z30" t="s">
        <v>261</v>
      </c>
    </row>
    <row r="31" spans="1:26" x14ac:dyDescent="0.2">
      <c r="A31" s="78" t="s">
        <v>239</v>
      </c>
      <c r="B31" s="79"/>
      <c r="C31" s="79"/>
      <c r="D31" s="79"/>
      <c r="E31" s="79"/>
      <c r="F31" s="79"/>
      <c r="K31" t="s">
        <v>134</v>
      </c>
      <c r="U31" s="2" t="s">
        <v>195</v>
      </c>
    </row>
    <row r="32" spans="1:26" x14ac:dyDescent="0.2">
      <c r="A32" s="78" t="s">
        <v>233</v>
      </c>
      <c r="B32" s="79"/>
      <c r="C32" s="79"/>
      <c r="D32" s="79"/>
      <c r="E32" s="79"/>
      <c r="F32" s="79"/>
      <c r="K32" s="2" t="s">
        <v>135</v>
      </c>
      <c r="Z32" t="s">
        <v>262</v>
      </c>
    </row>
    <row r="33" spans="11:26" x14ac:dyDescent="0.2">
      <c r="U33" s="2" t="s">
        <v>167</v>
      </c>
      <c r="V33" s="2" t="s">
        <v>168</v>
      </c>
    </row>
    <row r="34" spans="11:26" x14ac:dyDescent="0.2">
      <c r="U34" t="s">
        <v>196</v>
      </c>
      <c r="V34" t="s">
        <v>172</v>
      </c>
      <c r="Z34" t="s">
        <v>263</v>
      </c>
    </row>
    <row r="35" spans="11:26" x14ac:dyDescent="0.2">
      <c r="U35" t="s">
        <v>197</v>
      </c>
      <c r="V35" t="s">
        <v>198</v>
      </c>
      <c r="Z35" t="s">
        <v>264</v>
      </c>
    </row>
    <row r="36" spans="11:26" x14ac:dyDescent="0.2">
      <c r="K36" s="2" t="s">
        <v>136</v>
      </c>
      <c r="U36" t="s">
        <v>199</v>
      </c>
      <c r="V36" t="s">
        <v>200</v>
      </c>
      <c r="Z36" t="s">
        <v>265</v>
      </c>
    </row>
    <row r="37" spans="11:26" x14ac:dyDescent="0.2">
      <c r="U37" t="s">
        <v>201</v>
      </c>
      <c r="V37" t="s">
        <v>202</v>
      </c>
    </row>
    <row r="38" spans="11:26" x14ac:dyDescent="0.2">
      <c r="K38" t="s">
        <v>137</v>
      </c>
      <c r="Z38" t="s">
        <v>266</v>
      </c>
    </row>
    <row r="39" spans="11:26" x14ac:dyDescent="0.2">
      <c r="K39" t="s">
        <v>138</v>
      </c>
      <c r="Z39" t="s">
        <v>267</v>
      </c>
    </row>
    <row r="40" spans="11:26" x14ac:dyDescent="0.2">
      <c r="K40" t="s">
        <v>139</v>
      </c>
      <c r="U40" s="2" t="s">
        <v>203</v>
      </c>
    </row>
    <row r="41" spans="11:26" x14ac:dyDescent="0.2">
      <c r="K41" t="s">
        <v>140</v>
      </c>
      <c r="Z41" t="s">
        <v>259</v>
      </c>
    </row>
    <row r="42" spans="11:26" x14ac:dyDescent="0.2">
      <c r="K42" t="s">
        <v>141</v>
      </c>
      <c r="U42" s="2" t="s">
        <v>167</v>
      </c>
      <c r="V42" s="2" t="s">
        <v>168</v>
      </c>
      <c r="Z42" t="s">
        <v>268</v>
      </c>
    </row>
    <row r="43" spans="11:26" x14ac:dyDescent="0.2">
      <c r="K43" s="2" t="s">
        <v>142</v>
      </c>
      <c r="U43" t="s">
        <v>204</v>
      </c>
      <c r="V43" t="s">
        <v>205</v>
      </c>
      <c r="Z43" t="s">
        <v>259</v>
      </c>
    </row>
    <row r="44" spans="11:26" x14ac:dyDescent="0.2">
      <c r="U44" t="s">
        <v>206</v>
      </c>
      <c r="V44" t="s">
        <v>207</v>
      </c>
    </row>
    <row r="45" spans="11:26" x14ac:dyDescent="0.2">
      <c r="U45" t="s">
        <v>208</v>
      </c>
      <c r="V45" t="s">
        <v>172</v>
      </c>
      <c r="Z45" t="s">
        <v>269</v>
      </c>
    </row>
    <row r="46" spans="11:26" x14ac:dyDescent="0.2">
      <c r="U46" t="s">
        <v>209</v>
      </c>
      <c r="V46" t="s">
        <v>210</v>
      </c>
      <c r="Z46" t="s">
        <v>270</v>
      </c>
    </row>
    <row r="47" spans="11:26" x14ac:dyDescent="0.2">
      <c r="K47" s="2" t="s">
        <v>143</v>
      </c>
      <c r="Z47" t="s">
        <v>271</v>
      </c>
    </row>
    <row r="48" spans="11:26" x14ac:dyDescent="0.2">
      <c r="Z48" t="s">
        <v>272</v>
      </c>
    </row>
    <row r="49" spans="11:26" x14ac:dyDescent="0.2">
      <c r="K49" t="s">
        <v>144</v>
      </c>
      <c r="Z49" t="s">
        <v>273</v>
      </c>
    </row>
    <row r="50" spans="11:26" x14ac:dyDescent="0.2">
      <c r="K50" t="s">
        <v>145</v>
      </c>
      <c r="Z50" t="s">
        <v>274</v>
      </c>
    </row>
    <row r="51" spans="11:26" x14ac:dyDescent="0.2">
      <c r="K51" t="s">
        <v>146</v>
      </c>
      <c r="Z51" t="s">
        <v>275</v>
      </c>
    </row>
    <row r="52" spans="11:26" x14ac:dyDescent="0.2">
      <c r="K52" t="s">
        <v>147</v>
      </c>
      <c r="Z52" t="s">
        <v>276</v>
      </c>
    </row>
    <row r="53" spans="11:26" x14ac:dyDescent="0.2">
      <c r="K53" s="2" t="s">
        <v>148</v>
      </c>
      <c r="Z53" t="s">
        <v>277</v>
      </c>
    </row>
    <row r="54" spans="11:26" x14ac:dyDescent="0.2">
      <c r="K54" t="s">
        <v>149</v>
      </c>
      <c r="Z54" t="s">
        <v>278</v>
      </c>
    </row>
    <row r="55" spans="11:26" x14ac:dyDescent="0.2">
      <c r="K55" t="s">
        <v>150</v>
      </c>
      <c r="Z55" t="s">
        <v>279</v>
      </c>
    </row>
    <row r="57" spans="11:26" x14ac:dyDescent="0.2">
      <c r="Z57" t="s">
        <v>280</v>
      </c>
    </row>
    <row r="58" spans="11:26" x14ac:dyDescent="0.2">
      <c r="Z58" t="s">
        <v>281</v>
      </c>
    </row>
    <row r="59" spans="11:26" x14ac:dyDescent="0.2">
      <c r="K59" s="2" t="s">
        <v>151</v>
      </c>
    </row>
    <row r="60" spans="11:26" x14ac:dyDescent="0.2">
      <c r="Z60" t="s">
        <v>282</v>
      </c>
    </row>
    <row r="61" spans="11:26" x14ac:dyDescent="0.2">
      <c r="K61" t="s">
        <v>152</v>
      </c>
      <c r="Z61" t="s">
        <v>283</v>
      </c>
    </row>
    <row r="62" spans="11:26" x14ac:dyDescent="0.2">
      <c r="K62" t="s">
        <v>153</v>
      </c>
      <c r="Z62" t="s">
        <v>284</v>
      </c>
    </row>
    <row r="63" spans="11:26" x14ac:dyDescent="0.2">
      <c r="K63" t="s">
        <v>154</v>
      </c>
    </row>
    <row r="64" spans="11:26" x14ac:dyDescent="0.2">
      <c r="K64" t="s">
        <v>155</v>
      </c>
      <c r="Z64" t="s">
        <v>285</v>
      </c>
    </row>
    <row r="65" spans="11:26" x14ac:dyDescent="0.2">
      <c r="K65" t="s">
        <v>156</v>
      </c>
      <c r="Z65" t="s">
        <v>286</v>
      </c>
    </row>
    <row r="66" spans="11:26" x14ac:dyDescent="0.2">
      <c r="K66" s="2" t="s">
        <v>157</v>
      </c>
      <c r="Z66" t="s">
        <v>287</v>
      </c>
    </row>
    <row r="67" spans="11:26" x14ac:dyDescent="0.2">
      <c r="K67" t="s">
        <v>158</v>
      </c>
    </row>
    <row r="68" spans="11:26" x14ac:dyDescent="0.2">
      <c r="K68" t="s">
        <v>141</v>
      </c>
      <c r="Z68" t="s">
        <v>288</v>
      </c>
    </row>
    <row r="69" spans="11:26" x14ac:dyDescent="0.2">
      <c r="Z69" t="s">
        <v>289</v>
      </c>
    </row>
    <row r="70" spans="11:26" x14ac:dyDescent="0.2">
      <c r="Z70" t="s">
        <v>290</v>
      </c>
    </row>
    <row r="72" spans="11:26" x14ac:dyDescent="0.2">
      <c r="K72" s="2" t="s">
        <v>159</v>
      </c>
      <c r="Z72" t="s">
        <v>259</v>
      </c>
    </row>
    <row r="73" spans="11:26" x14ac:dyDescent="0.2">
      <c r="Z73" t="s">
        <v>291</v>
      </c>
    </row>
    <row r="74" spans="11:26" x14ac:dyDescent="0.2">
      <c r="K74" t="s">
        <v>160</v>
      </c>
      <c r="Z74" t="s">
        <v>259</v>
      </c>
    </row>
    <row r="75" spans="11:26" x14ac:dyDescent="0.2">
      <c r="K75" t="s">
        <v>161</v>
      </c>
    </row>
    <row r="76" spans="11:26" x14ac:dyDescent="0.2">
      <c r="K76" t="s">
        <v>162</v>
      </c>
      <c r="Z76" t="s">
        <v>269</v>
      </c>
    </row>
    <row r="77" spans="11:26" x14ac:dyDescent="0.2">
      <c r="K77" t="s">
        <v>111</v>
      </c>
      <c r="Z77" t="s">
        <v>292</v>
      </c>
    </row>
    <row r="78" spans="11:26" x14ac:dyDescent="0.2">
      <c r="K78" t="s">
        <v>163</v>
      </c>
      <c r="Z78" t="s">
        <v>293</v>
      </c>
    </row>
    <row r="79" spans="11:26" x14ac:dyDescent="0.2">
      <c r="K79" t="s">
        <v>164</v>
      </c>
      <c r="Z79" t="s">
        <v>294</v>
      </c>
    </row>
    <row r="80" spans="11:26" x14ac:dyDescent="0.2">
      <c r="Z80" t="s">
        <v>295</v>
      </c>
    </row>
    <row r="81" spans="26:26" x14ac:dyDescent="0.2">
      <c r="Z81" t="s">
        <v>296</v>
      </c>
    </row>
    <row r="82" spans="26:26" x14ac:dyDescent="0.2">
      <c r="Z82" t="s">
        <v>297</v>
      </c>
    </row>
    <row r="83" spans="26:26" x14ac:dyDescent="0.2">
      <c r="Z83" t="s">
        <v>298</v>
      </c>
    </row>
    <row r="84" spans="26:26" x14ac:dyDescent="0.2">
      <c r="Z84" t="s">
        <v>299</v>
      </c>
    </row>
    <row r="85" spans="26:26" x14ac:dyDescent="0.2">
      <c r="Z85" t="s">
        <v>300</v>
      </c>
    </row>
    <row r="86" spans="26:26" x14ac:dyDescent="0.2">
      <c r="Z86" t="s">
        <v>301</v>
      </c>
    </row>
    <row r="88" spans="26:26" x14ac:dyDescent="0.2">
      <c r="Z88" t="s">
        <v>302</v>
      </c>
    </row>
    <row r="89" spans="26:26" x14ac:dyDescent="0.2">
      <c r="Z89" t="s">
        <v>281</v>
      </c>
    </row>
    <row r="91" spans="26:26" x14ac:dyDescent="0.2">
      <c r="Z91" t="s">
        <v>282</v>
      </c>
    </row>
    <row r="92" spans="26:26" x14ac:dyDescent="0.2">
      <c r="Z92" t="s">
        <v>303</v>
      </c>
    </row>
    <row r="93" spans="26:26" x14ac:dyDescent="0.2">
      <c r="Z93" t="s">
        <v>304</v>
      </c>
    </row>
    <row r="95" spans="26:26" x14ac:dyDescent="0.2">
      <c r="Z95" t="s">
        <v>285</v>
      </c>
    </row>
    <row r="96" spans="26:26" x14ac:dyDescent="0.2">
      <c r="Z96" t="s">
        <v>305</v>
      </c>
    </row>
    <row r="97" spans="26:26" x14ac:dyDescent="0.2">
      <c r="Z97" t="s">
        <v>306</v>
      </c>
    </row>
    <row r="99" spans="26:26" x14ac:dyDescent="0.2">
      <c r="Z99" t="s">
        <v>307</v>
      </c>
    </row>
    <row r="100" spans="26:26" x14ac:dyDescent="0.2">
      <c r="Z100" t="s">
        <v>308</v>
      </c>
    </row>
    <row r="101" spans="26:26" x14ac:dyDescent="0.2">
      <c r="Z101" t="s">
        <v>309</v>
      </c>
    </row>
    <row r="102" spans="26:26" x14ac:dyDescent="0.2">
      <c r="Z102" t="s">
        <v>310</v>
      </c>
    </row>
    <row r="104" spans="26:26" x14ac:dyDescent="0.2">
      <c r="Z104" t="s">
        <v>259</v>
      </c>
    </row>
    <row r="105" spans="26:26" x14ac:dyDescent="0.2">
      <c r="Z105" t="s">
        <v>311</v>
      </c>
    </row>
    <row r="106" spans="26:26" x14ac:dyDescent="0.2">
      <c r="Z106" t="s">
        <v>259</v>
      </c>
    </row>
    <row r="108" spans="26:26" x14ac:dyDescent="0.2">
      <c r="Z108" t="s">
        <v>312</v>
      </c>
    </row>
    <row r="109" spans="26:26" x14ac:dyDescent="0.2">
      <c r="Z109" t="s">
        <v>313</v>
      </c>
    </row>
    <row r="110" spans="26:26" x14ac:dyDescent="0.2">
      <c r="Z110" t="s">
        <v>314</v>
      </c>
    </row>
    <row r="112" spans="26:26" x14ac:dyDescent="0.2">
      <c r="Z112" t="s">
        <v>259</v>
      </c>
    </row>
  </sheetData>
  <mergeCells count="8">
    <mergeCell ref="A31:F31"/>
    <mergeCell ref="A32:F32"/>
    <mergeCell ref="A25:F25"/>
    <mergeCell ref="A26:F26"/>
    <mergeCell ref="A27:F27"/>
    <mergeCell ref="A28:F28"/>
    <mergeCell ref="A29:F29"/>
    <mergeCell ref="A30:F30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A29FF-0F8E-9145-BC22-47A8B9B1E2D8}">
  <dimension ref="A1:J31"/>
  <sheetViews>
    <sheetView zoomScale="113" workbookViewId="0">
      <selection activeCell="E15" sqref="E15"/>
    </sheetView>
  </sheetViews>
  <sheetFormatPr baseColWidth="10" defaultRowHeight="16" x14ac:dyDescent="0.2"/>
  <cols>
    <col min="1" max="1" width="15.5" customWidth="1"/>
    <col min="2" max="2" width="22.5" bestFit="1" customWidth="1"/>
    <col min="3" max="3" width="21.1640625" bestFit="1" customWidth="1"/>
    <col min="4" max="4" width="25.33203125" bestFit="1" customWidth="1"/>
    <col min="5" max="5" width="24.6640625" bestFit="1" customWidth="1"/>
    <col min="6" max="6" width="25.5" bestFit="1" customWidth="1"/>
    <col min="7" max="7" width="28.5" bestFit="1" customWidth="1"/>
    <col min="8" max="8" width="27.33203125" bestFit="1" customWidth="1"/>
    <col min="9" max="9" width="21.6640625" bestFit="1" customWidth="1"/>
    <col min="10" max="10" width="20.83203125" bestFit="1" customWidth="1"/>
    <col min="11" max="11" width="21.83203125" bestFit="1" customWidth="1"/>
  </cols>
  <sheetData>
    <row r="1" spans="1:10" x14ac:dyDescent="0.2">
      <c r="A1" s="2" t="s">
        <v>17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58</v>
      </c>
    </row>
    <row r="2" spans="1:10" x14ac:dyDescent="0.2">
      <c r="A2" t="s">
        <v>21</v>
      </c>
      <c r="B2" s="1">
        <v>1135000</v>
      </c>
      <c r="C2" s="1">
        <v>904000</v>
      </c>
      <c r="D2" s="1">
        <v>231000</v>
      </c>
      <c r="E2" s="1">
        <v>56000</v>
      </c>
      <c r="F2" s="1">
        <v>1663000</v>
      </c>
      <c r="G2" s="1">
        <v>1468000</v>
      </c>
      <c r="H2" s="1">
        <v>195000</v>
      </c>
      <c r="I2" s="1">
        <v>511000</v>
      </c>
      <c r="J2" s="1">
        <v>12468000</v>
      </c>
    </row>
    <row r="3" spans="1:10" x14ac:dyDescent="0.2">
      <c r="A3" t="s">
        <v>22</v>
      </c>
      <c r="B3" s="1">
        <v>1245000</v>
      </c>
      <c r="C3" s="1">
        <v>944000</v>
      </c>
      <c r="D3" s="1">
        <v>301000</v>
      </c>
      <c r="E3" s="1">
        <v>42000</v>
      </c>
      <c r="F3" s="1">
        <v>1778000</v>
      </c>
      <c r="G3" s="1">
        <v>1539000</v>
      </c>
      <c r="H3" s="1">
        <v>239000</v>
      </c>
      <c r="I3" s="1">
        <v>535000</v>
      </c>
      <c r="J3" s="1">
        <v>13576000</v>
      </c>
    </row>
    <row r="4" spans="1:10" x14ac:dyDescent="0.2">
      <c r="A4" t="s">
        <v>23</v>
      </c>
      <c r="B4" s="1">
        <v>1435000</v>
      </c>
      <c r="C4" s="1">
        <v>1103000</v>
      </c>
      <c r="D4" s="1">
        <v>332000</v>
      </c>
      <c r="E4" s="1">
        <v>59000</v>
      </c>
      <c r="F4" s="1">
        <v>1975000</v>
      </c>
      <c r="G4" s="1">
        <v>1691000</v>
      </c>
      <c r="H4" s="1">
        <v>284000</v>
      </c>
      <c r="I4" s="1">
        <v>536000</v>
      </c>
      <c r="J4" s="1">
        <v>15254000</v>
      </c>
    </row>
    <row r="5" spans="1:10" x14ac:dyDescent="0.2">
      <c r="A5" t="s">
        <v>24</v>
      </c>
      <c r="B5" s="1">
        <v>1506000</v>
      </c>
      <c r="C5" s="1">
        <v>1203000</v>
      </c>
      <c r="D5" s="1">
        <v>303000</v>
      </c>
      <c r="E5" s="1">
        <v>100000</v>
      </c>
      <c r="F5" s="1">
        <v>2142000</v>
      </c>
      <c r="G5" s="1">
        <v>1879000</v>
      </c>
      <c r="H5" s="1">
        <v>300000</v>
      </c>
      <c r="I5" s="1">
        <v>591000</v>
      </c>
      <c r="J5" s="1">
        <v>17090000</v>
      </c>
    </row>
    <row r="6" spans="1:10" x14ac:dyDescent="0.2">
      <c r="A6" t="s">
        <v>25</v>
      </c>
      <c r="B6" s="1">
        <v>1725000</v>
      </c>
      <c r="C6" s="1">
        <v>1317000</v>
      </c>
      <c r="D6" s="1">
        <v>408000</v>
      </c>
      <c r="E6" s="1">
        <v>87000</v>
      </c>
      <c r="F6" s="1">
        <v>2315000</v>
      </c>
      <c r="G6" s="1">
        <v>2007000</v>
      </c>
      <c r="H6" s="1">
        <v>337000</v>
      </c>
      <c r="I6" s="1">
        <v>649000</v>
      </c>
      <c r="J6" s="1">
        <v>18887000</v>
      </c>
    </row>
    <row r="7" spans="1:10" x14ac:dyDescent="0.2">
      <c r="A7" t="s">
        <v>26</v>
      </c>
      <c r="B7" s="1">
        <v>1683000</v>
      </c>
      <c r="C7" s="1">
        <v>1356000</v>
      </c>
      <c r="D7" s="1">
        <v>327000</v>
      </c>
      <c r="E7" s="1">
        <v>65000</v>
      </c>
      <c r="F7" s="1">
        <v>2686000</v>
      </c>
      <c r="G7" s="1">
        <v>2349000</v>
      </c>
      <c r="H7" s="1">
        <v>336000</v>
      </c>
      <c r="I7" s="1">
        <v>934000</v>
      </c>
      <c r="J7" s="1">
        <v>20075000</v>
      </c>
    </row>
    <row r="8" spans="1:10" x14ac:dyDescent="0.2">
      <c r="A8" t="s">
        <v>27</v>
      </c>
      <c r="B8" s="1">
        <v>1738000</v>
      </c>
      <c r="C8" s="1">
        <v>1424000</v>
      </c>
      <c r="D8" s="1">
        <v>314000</v>
      </c>
      <c r="E8" s="1">
        <v>24000</v>
      </c>
      <c r="F8" s="1">
        <v>3517000</v>
      </c>
      <c r="G8" s="1">
        <v>3011000</v>
      </c>
      <c r="H8" s="1">
        <v>426000</v>
      </c>
      <c r="I8" s="1">
        <v>1818000</v>
      </c>
      <c r="J8" s="1">
        <v>19746000</v>
      </c>
    </row>
    <row r="9" spans="1:10" x14ac:dyDescent="0.2">
      <c r="A9" t="s">
        <v>28</v>
      </c>
      <c r="B9" s="1">
        <v>2205000</v>
      </c>
      <c r="C9" s="1">
        <v>1716000</v>
      </c>
      <c r="D9" s="1">
        <v>489000</v>
      </c>
      <c r="E9" s="1">
        <v>62000</v>
      </c>
      <c r="F9" s="1">
        <v>3794000</v>
      </c>
      <c r="G9" s="1">
        <v>3116000</v>
      </c>
      <c r="H9" s="1">
        <v>603000</v>
      </c>
      <c r="I9" s="1">
        <v>1587000</v>
      </c>
      <c r="J9" s="1">
        <v>23665000</v>
      </c>
    </row>
    <row r="10" spans="1:10" x14ac:dyDescent="0.2">
      <c r="A10" t="s">
        <v>29</v>
      </c>
      <c r="B10" s="1">
        <v>2348000</v>
      </c>
      <c r="C10" s="1">
        <v>2027000</v>
      </c>
      <c r="D10" s="1">
        <v>321000</v>
      </c>
      <c r="E10" s="1">
        <v>56000</v>
      </c>
      <c r="F10" s="1">
        <v>4187000</v>
      </c>
      <c r="G10" s="1">
        <v>3449000</v>
      </c>
      <c r="H10" s="1">
        <v>728000</v>
      </c>
      <c r="I10" s="1">
        <v>1755000</v>
      </c>
      <c r="J10" s="1">
        <v>27241000</v>
      </c>
    </row>
    <row r="11" spans="1:10" x14ac:dyDescent="0.2">
      <c r="A11" t="s">
        <v>30</v>
      </c>
      <c r="B11" s="1">
        <v>2756000</v>
      </c>
      <c r="C11" s="1">
        <v>2327000</v>
      </c>
      <c r="D11" s="1">
        <v>429000</v>
      </c>
      <c r="E11" s="1">
        <v>77000</v>
      </c>
      <c r="F11" s="1">
        <v>4490000</v>
      </c>
      <c r="G11" s="1">
        <v>3562000</v>
      </c>
      <c r="H11" s="1">
        <v>949000</v>
      </c>
      <c r="I11" s="1">
        <v>1654000</v>
      </c>
      <c r="J11" s="1">
        <v>30123000</v>
      </c>
    </row>
    <row r="12" spans="1:10" x14ac:dyDescent="0.2">
      <c r="A12" t="s">
        <v>42</v>
      </c>
      <c r="B12" s="1">
        <v>3147000</v>
      </c>
      <c r="C12" s="1">
        <v>2557000</v>
      </c>
      <c r="D12" s="1">
        <v>590000</v>
      </c>
      <c r="E12" s="1">
        <v>88000</v>
      </c>
      <c r="F12" s="1">
        <v>4716000</v>
      </c>
      <c r="G12" s="1">
        <v>3723000</v>
      </c>
      <c r="H12" s="1">
        <v>1018000</v>
      </c>
      <c r="I12" s="1">
        <v>1613000</v>
      </c>
      <c r="J12" s="1">
        <v>33068000</v>
      </c>
    </row>
    <row r="13" spans="1:10" x14ac:dyDescent="0.2">
      <c r="A13" t="s">
        <v>43</v>
      </c>
      <c r="B13" s="1">
        <v>3496000</v>
      </c>
      <c r="C13" s="1">
        <v>2837000</v>
      </c>
      <c r="D13" s="1">
        <v>659000</v>
      </c>
      <c r="E13" s="1">
        <v>59000</v>
      </c>
      <c r="F13" s="1">
        <v>5065000</v>
      </c>
      <c r="G13" s="1">
        <v>3944000</v>
      </c>
      <c r="H13" s="1">
        <v>1121000</v>
      </c>
      <c r="I13" s="1">
        <v>1569000</v>
      </c>
      <c r="J13" s="1">
        <v>35714000</v>
      </c>
    </row>
    <row r="31" spans="3:3" x14ac:dyDescent="0.2">
      <c r="C31" t="s">
        <v>71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55581-51A5-3044-80E3-34AE8EBB9B8B}">
  <dimension ref="A1:D13"/>
  <sheetViews>
    <sheetView zoomScale="233" workbookViewId="0">
      <selection activeCell="D35" sqref="D35"/>
    </sheetView>
  </sheetViews>
  <sheetFormatPr baseColWidth="10" defaultRowHeight="16" x14ac:dyDescent="0.2"/>
  <cols>
    <col min="1" max="1" width="13.83203125" customWidth="1"/>
    <col min="2" max="2" width="16.83203125" customWidth="1"/>
    <col min="3" max="3" width="20.83203125" bestFit="1" customWidth="1"/>
    <col min="4" max="4" width="26.1640625" bestFit="1" customWidth="1"/>
  </cols>
  <sheetData>
    <row r="1" spans="1:4" x14ac:dyDescent="0.2">
      <c r="A1" t="s">
        <v>61</v>
      </c>
      <c r="B1" s="5" t="s">
        <v>62</v>
      </c>
      <c r="C1" s="2" t="s">
        <v>49</v>
      </c>
      <c r="D1" t="s">
        <v>63</v>
      </c>
    </row>
    <row r="2" spans="1:4" x14ac:dyDescent="0.2">
      <c r="A2" t="s">
        <v>21</v>
      </c>
      <c r="B2" s="5">
        <v>8.5000000000000006E-2</v>
      </c>
      <c r="C2" s="5">
        <v>0.04</v>
      </c>
      <c r="D2" s="5">
        <f>Table7[[#This Row],[Capital Expenditure(₹ crore)]]/Table7[[#This Row],[Total Expenditure(₹ crore)]]</f>
        <v>0.11725796752856284</v>
      </c>
    </row>
    <row r="3" spans="1:4" x14ac:dyDescent="0.2">
      <c r="A3" t="s">
        <v>22</v>
      </c>
      <c r="B3" s="5">
        <f>(Table7[[#This Row],[Total Revenue(₹ crore)]]-Budget_Main!B2)/Table7[[#This Row],[Total Revenue(₹ crore)]]</f>
        <v>8.8353413654618476E-2</v>
      </c>
      <c r="C3" s="5">
        <v>3.5000000000000003E-2</v>
      </c>
      <c r="D3" s="5">
        <f>Table7[[#This Row],[Capital Expenditure(₹ crore)]]/Table7[[#This Row],[Total Expenditure(₹ crore)]]</f>
        <v>0.13442069741282339</v>
      </c>
    </row>
    <row r="4" spans="1:4" x14ac:dyDescent="0.2">
      <c r="A4" t="s">
        <v>23</v>
      </c>
      <c r="B4" s="5">
        <f>(Table7[[#This Row],[Total Revenue(₹ crore)]]-Budget_Main!B3)/Table7[[#This Row],[Total Revenue(₹ crore)]]</f>
        <v>0.13240418118466898</v>
      </c>
      <c r="C4" s="5">
        <v>3.5000000000000003E-2</v>
      </c>
      <c r="D4" s="5">
        <f>Table7[[#This Row],[Capital Expenditure(₹ crore)]]/Table7[[#This Row],[Total Expenditure(₹ crore)]]</f>
        <v>0.14379746835443039</v>
      </c>
    </row>
    <row r="5" spans="1:4" x14ac:dyDescent="0.2">
      <c r="A5" t="s">
        <v>24</v>
      </c>
      <c r="B5" s="5">
        <f>(Table7[[#This Row],[Total Revenue(₹ crore)]]-Budget_Main!B4)/Table7[[#This Row],[Total Revenue(₹ crore)]]</f>
        <v>4.7144754316069057E-2</v>
      </c>
      <c r="C5" s="5">
        <v>3.5000000000000003E-2</v>
      </c>
      <c r="D5" s="5">
        <f>Table7[[#This Row],[Capital Expenditure(₹ crore)]]/Table7[[#This Row],[Total Expenditure(₹ crore)]]</f>
        <v>0.14005602240896359</v>
      </c>
    </row>
    <row r="6" spans="1:4" x14ac:dyDescent="0.2">
      <c r="A6" t="s">
        <v>25</v>
      </c>
      <c r="B6" s="5">
        <f>(Table7[[#This Row],[Total Revenue(₹ crore)]]-Budget_Main!B5)/Table7[[#This Row],[Total Revenue(₹ crore)]]</f>
        <v>0.12695652173913044</v>
      </c>
      <c r="C6" s="5">
        <v>3.4000000000000002E-2</v>
      </c>
      <c r="D6" s="5">
        <f>Table7[[#This Row],[Capital Expenditure(₹ crore)]]/Table7[[#This Row],[Total Expenditure(₹ crore)]]</f>
        <v>0.14557235421166306</v>
      </c>
    </row>
    <row r="7" spans="1:4" x14ac:dyDescent="0.2">
      <c r="A7" t="s">
        <v>26</v>
      </c>
      <c r="B7" s="5">
        <f>(Table7[[#This Row],[Total Revenue(₹ crore)]]-Budget_Main!B6)/Table7[[#This Row],[Total Revenue(₹ crore)]]</f>
        <v>-2.4955436720142603E-2</v>
      </c>
      <c r="C7" s="5">
        <v>4.5999999999999999E-2</v>
      </c>
      <c r="D7" s="5">
        <f>Table7[[#This Row],[Capital Expenditure(₹ crore)]]/Table7[[#This Row],[Total Expenditure(₹ crore)]]</f>
        <v>0.12509307520476545</v>
      </c>
    </row>
    <row r="8" spans="1:4" x14ac:dyDescent="0.2">
      <c r="A8" t="s">
        <v>27</v>
      </c>
      <c r="B8" s="5">
        <f>(Table7[[#This Row],[Total Revenue(₹ crore)]]-Budget_Main!B7)/Table7[[#This Row],[Total Revenue(₹ crore)]]</f>
        <v>3.1645569620253167E-2</v>
      </c>
      <c r="C8" s="5">
        <v>9.1999999999999998E-2</v>
      </c>
      <c r="D8" s="5">
        <f>Table7[[#This Row],[Capital Expenditure(₹ crore)]]/Table7[[#This Row],[Total Expenditure(₹ crore)]]</f>
        <v>0.12112595962468012</v>
      </c>
    </row>
    <row r="9" spans="1:4" x14ac:dyDescent="0.2">
      <c r="A9" t="s">
        <v>28</v>
      </c>
      <c r="B9" s="5">
        <f>(Table7[[#This Row],[Total Revenue(₹ crore)]]-Budget_Main!B8)/Table7[[#This Row],[Total Revenue(₹ crore)]]</f>
        <v>0.21179138321995464</v>
      </c>
      <c r="C9" s="5">
        <v>6.7000000000000004E-2</v>
      </c>
      <c r="D9" s="5">
        <f>Table7[[#This Row],[Capital Expenditure(₹ crore)]]/Table7[[#This Row],[Total Expenditure(₹ crore)]]</f>
        <v>0.15893516078017922</v>
      </c>
    </row>
    <row r="10" spans="1:4" x14ac:dyDescent="0.2">
      <c r="A10" t="s">
        <v>29</v>
      </c>
      <c r="B10" s="5">
        <f>(Table7[[#This Row],[Total Revenue(₹ crore)]]-Budget_Main!B9)/Table7[[#This Row],[Total Revenue(₹ crore)]]</f>
        <v>6.0902896081771719E-2</v>
      </c>
      <c r="C10" s="5">
        <v>6.4000000000000001E-2</v>
      </c>
      <c r="D10" s="5">
        <f>Table7[[#This Row],[Capital Expenditure(₹ crore)]]/Table7[[#This Row],[Total Expenditure(₹ crore)]]</f>
        <v>0.17387150704561738</v>
      </c>
    </row>
    <row r="11" spans="1:4" x14ac:dyDescent="0.2">
      <c r="A11" t="s">
        <v>30</v>
      </c>
      <c r="B11" s="5">
        <f>(Table7[[#This Row],[Total Revenue(₹ crore)]]-Budget_Main!B10)/Table7[[#This Row],[Total Revenue(₹ crore)]]</f>
        <v>0.14804063860667635</v>
      </c>
      <c r="C11" s="5">
        <v>5.6000000000000001E-2</v>
      </c>
      <c r="D11" s="5">
        <f>Table7[[#This Row],[Capital Expenditure(₹ crore)]]/Table7[[#This Row],[Total Expenditure(₹ crore)]]</f>
        <v>0.21135857461024499</v>
      </c>
    </row>
    <row r="12" spans="1:4" x14ac:dyDescent="0.2">
      <c r="A12" t="s">
        <v>42</v>
      </c>
      <c r="B12" s="5">
        <f>(Table7[[#This Row],[Total Revenue(₹ crore)]]-Budget_Main!B11)/Table7[[#This Row],[Total Revenue(₹ crore)]]</f>
        <v>0.12424531299650461</v>
      </c>
      <c r="C12" s="5">
        <v>4.8000000000000001E-2</v>
      </c>
      <c r="D12" s="5">
        <f>Table7[[#This Row],[Capital Expenditure(₹ crore)]]/Table7[[#This Row],[Total Expenditure(₹ crore)]]</f>
        <v>0.21586089906700592</v>
      </c>
    </row>
    <row r="13" spans="1:4" x14ac:dyDescent="0.2">
      <c r="A13" t="s">
        <v>43</v>
      </c>
      <c r="B13" s="5">
        <f>(Table7[[#This Row],[Total Revenue(₹ crore)]]-Budget_Main!B12)/Table7[[#This Row],[Total Revenue(₹ crore)]]</f>
        <v>9.9828375286041188E-2</v>
      </c>
      <c r="C13" s="5">
        <v>4.3999999999999997E-2</v>
      </c>
      <c r="D13" s="5">
        <f>Table7[[#This Row],[Capital Expenditure(₹ crore)]]/Table7[[#This Row],[Total Expenditure(₹ crore)]]</f>
        <v>0.2213228035538006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EA20-5CC5-2C4A-A93C-9E8C238937C2}">
  <dimension ref="A1:D85"/>
  <sheetViews>
    <sheetView workbookViewId="0">
      <selection activeCell="G12" sqref="G12"/>
    </sheetView>
  </sheetViews>
  <sheetFormatPr baseColWidth="10" defaultRowHeight="16" x14ac:dyDescent="0.2"/>
  <cols>
    <col min="1" max="1" width="15.1640625" bestFit="1" customWidth="1"/>
    <col min="2" max="2" width="11.1640625" bestFit="1" customWidth="1"/>
    <col min="3" max="3" width="16.33203125" bestFit="1" customWidth="1"/>
    <col min="4" max="4" width="16" bestFit="1" customWidth="1"/>
  </cols>
  <sheetData>
    <row r="1" spans="1:4" x14ac:dyDescent="0.2">
      <c r="A1" s="2" t="s">
        <v>17</v>
      </c>
      <c r="B1" s="2" t="s">
        <v>44</v>
      </c>
      <c r="C1" s="2" t="s">
        <v>45</v>
      </c>
      <c r="D1" s="2" t="s">
        <v>46</v>
      </c>
    </row>
    <row r="2" spans="1:4" x14ac:dyDescent="0.2">
      <c r="A2" s="6" t="s">
        <v>21</v>
      </c>
      <c r="B2" s="6" t="s">
        <v>32</v>
      </c>
      <c r="C2" s="6" t="s">
        <v>7</v>
      </c>
      <c r="D2" s="7">
        <v>258326</v>
      </c>
    </row>
    <row r="3" spans="1:4" x14ac:dyDescent="0.2">
      <c r="A3" s="6" t="s">
        <v>21</v>
      </c>
      <c r="B3" s="6" t="s">
        <v>32</v>
      </c>
      <c r="C3" s="6" t="s">
        <v>8</v>
      </c>
      <c r="D3" s="7">
        <v>428925</v>
      </c>
    </row>
    <row r="4" spans="1:4" x14ac:dyDescent="0.2">
      <c r="A4" s="6" t="s">
        <v>21</v>
      </c>
      <c r="B4" s="6" t="s">
        <v>33</v>
      </c>
      <c r="C4" s="6" t="s">
        <v>9</v>
      </c>
      <c r="D4" s="6" t="s">
        <v>47</v>
      </c>
    </row>
    <row r="5" spans="1:4" x14ac:dyDescent="0.2">
      <c r="A5" s="6" t="s">
        <v>21</v>
      </c>
      <c r="B5" s="6" t="s">
        <v>33</v>
      </c>
      <c r="C5" s="6" t="s">
        <v>10</v>
      </c>
      <c r="D5" s="7">
        <v>188016</v>
      </c>
    </row>
    <row r="6" spans="1:4" x14ac:dyDescent="0.2">
      <c r="A6" s="6" t="s">
        <v>21</v>
      </c>
      <c r="B6" s="6" t="s">
        <v>33</v>
      </c>
      <c r="C6" s="6" t="s">
        <v>34</v>
      </c>
      <c r="D6" s="7">
        <v>188128</v>
      </c>
    </row>
    <row r="7" spans="1:4" x14ac:dyDescent="0.2">
      <c r="A7" s="6" t="s">
        <v>21</v>
      </c>
      <c r="B7" s="6" t="s">
        <v>35</v>
      </c>
      <c r="C7" s="6" t="s">
        <v>48</v>
      </c>
      <c r="D7" s="7">
        <v>89833</v>
      </c>
    </row>
    <row r="8" spans="1:4" x14ac:dyDescent="0.2">
      <c r="A8" s="6" t="s">
        <v>21</v>
      </c>
      <c r="B8" s="6" t="s">
        <v>35</v>
      </c>
      <c r="C8" s="6" t="s">
        <v>36</v>
      </c>
      <c r="D8" s="7">
        <v>23804</v>
      </c>
    </row>
    <row r="9" spans="1:4" x14ac:dyDescent="0.2">
      <c r="A9" s="6" t="s">
        <v>22</v>
      </c>
      <c r="B9" s="6" t="s">
        <v>32</v>
      </c>
      <c r="C9" s="6" t="s">
        <v>7</v>
      </c>
      <c r="D9" s="7">
        <v>291653</v>
      </c>
    </row>
    <row r="10" spans="1:4" x14ac:dyDescent="0.2">
      <c r="A10" s="6" t="s">
        <v>22</v>
      </c>
      <c r="B10" s="6" t="s">
        <v>32</v>
      </c>
      <c r="C10" s="6" t="s">
        <v>8</v>
      </c>
      <c r="D10" s="7">
        <v>452970</v>
      </c>
    </row>
    <row r="11" spans="1:4" x14ac:dyDescent="0.2">
      <c r="A11" s="6" t="s">
        <v>22</v>
      </c>
      <c r="B11" s="6" t="s">
        <v>33</v>
      </c>
      <c r="C11" s="6" t="s">
        <v>9</v>
      </c>
      <c r="D11" s="6" t="s">
        <v>47</v>
      </c>
    </row>
    <row r="12" spans="1:4" x14ac:dyDescent="0.2">
      <c r="A12" s="6" t="s">
        <v>22</v>
      </c>
      <c r="B12" s="6" t="s">
        <v>33</v>
      </c>
      <c r="C12" s="6" t="s">
        <v>10</v>
      </c>
      <c r="D12" s="7">
        <v>209500</v>
      </c>
    </row>
    <row r="13" spans="1:4" x14ac:dyDescent="0.2">
      <c r="A13" s="6" t="s">
        <v>22</v>
      </c>
      <c r="B13" s="6" t="s">
        <v>33</v>
      </c>
      <c r="C13" s="6" t="s">
        <v>34</v>
      </c>
      <c r="D13" s="7">
        <v>283353</v>
      </c>
    </row>
    <row r="14" spans="1:4" x14ac:dyDescent="0.2">
      <c r="A14" s="6" t="s">
        <v>22</v>
      </c>
      <c r="B14" s="6" t="s">
        <v>35</v>
      </c>
      <c r="C14" s="6" t="s">
        <v>48</v>
      </c>
      <c r="D14" s="7">
        <v>118271</v>
      </c>
    </row>
    <row r="15" spans="1:4" x14ac:dyDescent="0.2">
      <c r="A15" s="6" t="s">
        <v>22</v>
      </c>
      <c r="B15" s="6" t="s">
        <v>35</v>
      </c>
      <c r="C15" s="6" t="s">
        <v>36</v>
      </c>
      <c r="D15" s="7">
        <v>23142</v>
      </c>
    </row>
    <row r="16" spans="1:4" x14ac:dyDescent="0.2">
      <c r="A16" s="6" t="s">
        <v>23</v>
      </c>
      <c r="B16" s="6" t="s">
        <v>32</v>
      </c>
      <c r="C16" s="6" t="s">
        <v>7</v>
      </c>
      <c r="D16" s="7">
        <v>345776</v>
      </c>
    </row>
    <row r="17" spans="1:4" x14ac:dyDescent="0.2">
      <c r="A17" s="6" t="s">
        <v>23</v>
      </c>
      <c r="B17" s="6" t="s">
        <v>32</v>
      </c>
      <c r="C17" s="6" t="s">
        <v>8</v>
      </c>
      <c r="D17" s="7">
        <v>493924</v>
      </c>
    </row>
    <row r="18" spans="1:4" x14ac:dyDescent="0.2">
      <c r="A18" s="6" t="s">
        <v>23</v>
      </c>
      <c r="B18" s="6" t="s">
        <v>33</v>
      </c>
      <c r="C18" s="6" t="s">
        <v>9</v>
      </c>
      <c r="D18" s="6" t="s">
        <v>47</v>
      </c>
    </row>
    <row r="19" spans="1:4" x14ac:dyDescent="0.2">
      <c r="A19" s="6" t="s">
        <v>23</v>
      </c>
      <c r="B19" s="6" t="s">
        <v>33</v>
      </c>
      <c r="C19" s="6" t="s">
        <v>10</v>
      </c>
      <c r="D19" s="7">
        <v>230000</v>
      </c>
    </row>
    <row r="20" spans="1:4" x14ac:dyDescent="0.2">
      <c r="A20" s="6" t="s">
        <v>23</v>
      </c>
      <c r="B20" s="6" t="s">
        <v>33</v>
      </c>
      <c r="C20" s="6" t="s">
        <v>34</v>
      </c>
      <c r="D20" s="7">
        <v>387369</v>
      </c>
    </row>
    <row r="21" spans="1:4" x14ac:dyDescent="0.2">
      <c r="A21" s="6" t="s">
        <v>23</v>
      </c>
      <c r="B21" s="6" t="s">
        <v>35</v>
      </c>
      <c r="C21" s="6" t="s">
        <v>48</v>
      </c>
      <c r="D21" s="7">
        <v>123780</v>
      </c>
    </row>
    <row r="22" spans="1:4" x14ac:dyDescent="0.2">
      <c r="A22" s="6" t="s">
        <v>23</v>
      </c>
      <c r="B22" s="6" t="s">
        <v>35</v>
      </c>
      <c r="C22" s="6" t="s">
        <v>36</v>
      </c>
      <c r="D22" s="7">
        <v>29620</v>
      </c>
    </row>
    <row r="23" spans="1:4" x14ac:dyDescent="0.2">
      <c r="A23" s="6" t="s">
        <v>24</v>
      </c>
      <c r="B23" s="6" t="s">
        <v>32</v>
      </c>
      <c r="C23" s="6" t="s">
        <v>7</v>
      </c>
      <c r="D23" s="7">
        <v>430772</v>
      </c>
    </row>
    <row r="24" spans="1:4" x14ac:dyDescent="0.2">
      <c r="A24" s="6" t="s">
        <v>24</v>
      </c>
      <c r="B24" s="6" t="s">
        <v>32</v>
      </c>
      <c r="C24" s="6" t="s">
        <v>8</v>
      </c>
      <c r="D24" s="7">
        <v>571131</v>
      </c>
    </row>
    <row r="25" spans="1:4" x14ac:dyDescent="0.2">
      <c r="A25" s="6" t="s">
        <v>24</v>
      </c>
      <c r="B25" s="6" t="s">
        <v>33</v>
      </c>
      <c r="C25" s="6" t="s">
        <v>9</v>
      </c>
      <c r="D25" s="7">
        <v>444631</v>
      </c>
    </row>
    <row r="26" spans="1:4" x14ac:dyDescent="0.2">
      <c r="A26" s="6" t="s">
        <v>24</v>
      </c>
      <c r="B26" s="6" t="s">
        <v>33</v>
      </c>
      <c r="C26" s="6" t="s">
        <v>10</v>
      </c>
      <c r="D26" s="7">
        <v>135242</v>
      </c>
    </row>
    <row r="27" spans="1:4" x14ac:dyDescent="0.2">
      <c r="A27" s="6" t="s">
        <v>24</v>
      </c>
      <c r="B27" s="6" t="s">
        <v>33</v>
      </c>
      <c r="C27" s="6" t="s">
        <v>34</v>
      </c>
      <c r="D27" s="7">
        <v>276995</v>
      </c>
    </row>
    <row r="28" spans="1:4" x14ac:dyDescent="0.2">
      <c r="A28" s="6" t="s">
        <v>24</v>
      </c>
      <c r="B28" s="6" t="s">
        <v>35</v>
      </c>
      <c r="C28" s="6" t="s">
        <v>48</v>
      </c>
      <c r="D28" s="7">
        <v>96905</v>
      </c>
    </row>
    <row r="29" spans="1:4" x14ac:dyDescent="0.2">
      <c r="A29" s="6" t="s">
        <v>24</v>
      </c>
      <c r="B29" s="6" t="s">
        <v>35</v>
      </c>
      <c r="C29" s="6" t="s">
        <v>36</v>
      </c>
      <c r="D29" s="7">
        <v>16554</v>
      </c>
    </row>
    <row r="30" spans="1:4" x14ac:dyDescent="0.2">
      <c r="A30" s="6" t="s">
        <v>25</v>
      </c>
      <c r="B30" s="6" t="s">
        <v>32</v>
      </c>
      <c r="C30" s="6" t="s">
        <v>7</v>
      </c>
      <c r="D30" s="7">
        <v>465277</v>
      </c>
    </row>
    <row r="31" spans="1:4" x14ac:dyDescent="0.2">
      <c r="A31" s="6" t="s">
        <v>25</v>
      </c>
      <c r="B31" s="6" t="s">
        <v>32</v>
      </c>
      <c r="C31" s="6" t="s">
        <v>8</v>
      </c>
      <c r="D31" s="7">
        <v>663572</v>
      </c>
    </row>
    <row r="32" spans="1:4" x14ac:dyDescent="0.2">
      <c r="A32" s="6" t="s">
        <v>25</v>
      </c>
      <c r="B32" s="6" t="s">
        <v>33</v>
      </c>
      <c r="C32" s="6" t="s">
        <v>9</v>
      </c>
      <c r="D32" s="7">
        <v>581677</v>
      </c>
    </row>
    <row r="33" spans="1:4" x14ac:dyDescent="0.2">
      <c r="A33" s="6" t="s">
        <v>25</v>
      </c>
      <c r="B33" s="6" t="s">
        <v>33</v>
      </c>
      <c r="C33" s="6" t="s">
        <v>10</v>
      </c>
      <c r="D33" s="7">
        <v>117000</v>
      </c>
    </row>
    <row r="34" spans="1:4" x14ac:dyDescent="0.2">
      <c r="A34" s="6" t="s">
        <v>25</v>
      </c>
      <c r="B34" s="6" t="s">
        <v>33</v>
      </c>
      <c r="C34" s="6" t="s">
        <v>34</v>
      </c>
      <c r="D34" s="7">
        <v>229622</v>
      </c>
    </row>
    <row r="35" spans="1:4" x14ac:dyDescent="0.2">
      <c r="A35" s="6" t="s">
        <v>25</v>
      </c>
      <c r="B35" s="6" t="s">
        <v>35</v>
      </c>
      <c r="C35" s="6" t="s">
        <v>48</v>
      </c>
      <c r="D35" s="7">
        <v>108044</v>
      </c>
    </row>
    <row r="36" spans="1:4" x14ac:dyDescent="0.2">
      <c r="A36" s="6" t="s">
        <v>25</v>
      </c>
      <c r="B36" s="6" t="s">
        <v>35</v>
      </c>
      <c r="C36" s="6" t="s">
        <v>36</v>
      </c>
      <c r="D36" s="7">
        <v>17654</v>
      </c>
    </row>
    <row r="37" spans="1:4" x14ac:dyDescent="0.2">
      <c r="A37" s="6" t="s">
        <v>26</v>
      </c>
      <c r="B37" s="6" t="s">
        <v>32</v>
      </c>
      <c r="C37" s="6" t="s">
        <v>7</v>
      </c>
      <c r="D37" s="7">
        <v>492071</v>
      </c>
    </row>
    <row r="38" spans="1:4" x14ac:dyDescent="0.2">
      <c r="A38" s="6" t="s">
        <v>26</v>
      </c>
      <c r="B38" s="6" t="s">
        <v>32</v>
      </c>
      <c r="C38" s="6" t="s">
        <v>8</v>
      </c>
      <c r="D38" s="7">
        <v>556876</v>
      </c>
    </row>
    <row r="39" spans="1:4" x14ac:dyDescent="0.2">
      <c r="A39" s="6" t="s">
        <v>26</v>
      </c>
      <c r="B39" s="6" t="s">
        <v>33</v>
      </c>
      <c r="C39" s="6" t="s">
        <v>9</v>
      </c>
      <c r="D39" s="7">
        <v>598501</v>
      </c>
    </row>
    <row r="40" spans="1:4" x14ac:dyDescent="0.2">
      <c r="A40" s="6" t="s">
        <v>26</v>
      </c>
      <c r="B40" s="6" t="s">
        <v>33</v>
      </c>
      <c r="C40" s="6" t="s">
        <v>10</v>
      </c>
      <c r="D40" s="7">
        <v>109282</v>
      </c>
    </row>
    <row r="41" spans="1:4" x14ac:dyDescent="0.2">
      <c r="A41" s="6" t="s">
        <v>26</v>
      </c>
      <c r="B41" s="6" t="s">
        <v>33</v>
      </c>
      <c r="C41" s="6" t="s">
        <v>34</v>
      </c>
      <c r="D41" s="7">
        <v>238573</v>
      </c>
    </row>
    <row r="42" spans="1:4" x14ac:dyDescent="0.2">
      <c r="A42" s="6" t="s">
        <v>26</v>
      </c>
      <c r="B42" s="6" t="s">
        <v>35</v>
      </c>
      <c r="C42" s="6" t="s">
        <v>48</v>
      </c>
      <c r="D42" s="7">
        <v>162836</v>
      </c>
    </row>
    <row r="43" spans="1:4" x14ac:dyDescent="0.2">
      <c r="A43" s="6" t="s">
        <v>26</v>
      </c>
      <c r="B43" s="6" t="s">
        <v>35</v>
      </c>
      <c r="C43" s="6" t="s">
        <v>36</v>
      </c>
      <c r="D43" s="7">
        <v>18152</v>
      </c>
    </row>
    <row r="44" spans="1:4" x14ac:dyDescent="0.2">
      <c r="A44" s="6" t="s">
        <v>27</v>
      </c>
      <c r="B44" s="6" t="s">
        <v>32</v>
      </c>
      <c r="C44" s="6" t="s">
        <v>7</v>
      </c>
      <c r="D44" s="7">
        <v>501196</v>
      </c>
    </row>
    <row r="45" spans="1:4" x14ac:dyDescent="0.2">
      <c r="A45" s="6" t="s">
        <v>27</v>
      </c>
      <c r="B45" s="6" t="s">
        <v>32</v>
      </c>
      <c r="C45" s="6" t="s">
        <v>8</v>
      </c>
      <c r="D45" s="7">
        <v>457719</v>
      </c>
    </row>
    <row r="46" spans="1:4" x14ac:dyDescent="0.2">
      <c r="A46" s="6" t="s">
        <v>27</v>
      </c>
      <c r="B46" s="6" t="s">
        <v>33</v>
      </c>
      <c r="C46" s="6" t="s">
        <v>9</v>
      </c>
      <c r="D46" s="7">
        <v>548776</v>
      </c>
    </row>
    <row r="47" spans="1:4" x14ac:dyDescent="0.2">
      <c r="A47" s="6" t="s">
        <v>27</v>
      </c>
      <c r="B47" s="6" t="s">
        <v>33</v>
      </c>
      <c r="C47" s="6" t="s">
        <v>10</v>
      </c>
      <c r="D47" s="7">
        <v>113578</v>
      </c>
    </row>
    <row r="48" spans="1:4" x14ac:dyDescent="0.2">
      <c r="A48" s="6" t="s">
        <v>27</v>
      </c>
      <c r="B48" s="6" t="s">
        <v>33</v>
      </c>
      <c r="C48" s="6" t="s">
        <v>34</v>
      </c>
      <c r="D48" s="7">
        <v>391531</v>
      </c>
    </row>
    <row r="49" spans="1:4" x14ac:dyDescent="0.2">
      <c r="A49" s="6" t="s">
        <v>27</v>
      </c>
      <c r="B49" s="6" t="s">
        <v>35</v>
      </c>
      <c r="C49" s="6" t="s">
        <v>48</v>
      </c>
      <c r="D49" s="7">
        <v>195422</v>
      </c>
    </row>
    <row r="50" spans="1:4" x14ac:dyDescent="0.2">
      <c r="A50" s="6" t="s">
        <v>27</v>
      </c>
      <c r="B50" s="6" t="s">
        <v>35</v>
      </c>
      <c r="C50" s="6" t="s">
        <v>36</v>
      </c>
      <c r="D50" s="7">
        <v>18114</v>
      </c>
    </row>
    <row r="51" spans="1:4" x14ac:dyDescent="0.2">
      <c r="A51" s="6" t="s">
        <v>28</v>
      </c>
      <c r="B51" s="6" t="s">
        <v>32</v>
      </c>
      <c r="C51" s="6" t="s">
        <v>7</v>
      </c>
      <c r="D51" s="7">
        <v>696243</v>
      </c>
    </row>
    <row r="52" spans="1:4" x14ac:dyDescent="0.2">
      <c r="A52" s="6" t="s">
        <v>28</v>
      </c>
      <c r="B52" s="6" t="s">
        <v>32</v>
      </c>
      <c r="C52" s="6" t="s">
        <v>8</v>
      </c>
      <c r="D52" s="7">
        <v>722762</v>
      </c>
    </row>
    <row r="53" spans="1:4" x14ac:dyDescent="0.2">
      <c r="A53" s="6" t="s">
        <v>28</v>
      </c>
      <c r="B53" s="6" t="s">
        <v>33</v>
      </c>
      <c r="C53" s="6" t="s">
        <v>9</v>
      </c>
      <c r="D53" s="7">
        <v>708135</v>
      </c>
    </row>
    <row r="54" spans="1:4" x14ac:dyDescent="0.2">
      <c r="A54" s="6" t="s">
        <v>28</v>
      </c>
      <c r="B54" s="6" t="s">
        <v>33</v>
      </c>
      <c r="C54" s="6" t="s">
        <v>10</v>
      </c>
      <c r="D54" s="7">
        <v>199538</v>
      </c>
    </row>
    <row r="55" spans="1:4" x14ac:dyDescent="0.2">
      <c r="A55" s="6" t="s">
        <v>28</v>
      </c>
      <c r="B55" s="6" t="s">
        <v>33</v>
      </c>
      <c r="C55" s="6" t="s">
        <v>34</v>
      </c>
      <c r="D55" s="7">
        <v>394214</v>
      </c>
    </row>
    <row r="56" spans="1:4" x14ac:dyDescent="0.2">
      <c r="A56" s="6" t="s">
        <v>28</v>
      </c>
      <c r="B56" s="6" t="s">
        <v>35</v>
      </c>
      <c r="C56" s="6" t="s">
        <v>48</v>
      </c>
      <c r="D56" s="7">
        <v>111735</v>
      </c>
    </row>
    <row r="57" spans="1:4" x14ac:dyDescent="0.2">
      <c r="A57" s="6" t="s">
        <v>28</v>
      </c>
      <c r="B57" s="6" t="s">
        <v>35</v>
      </c>
      <c r="C57" s="6" t="s">
        <v>36</v>
      </c>
      <c r="D57" s="7">
        <v>17046</v>
      </c>
    </row>
    <row r="58" spans="1:4" x14ac:dyDescent="0.2">
      <c r="A58" s="6" t="s">
        <v>29</v>
      </c>
      <c r="B58" s="6" t="s">
        <v>32</v>
      </c>
      <c r="C58" s="6" t="s">
        <v>7</v>
      </c>
      <c r="D58" s="7">
        <v>833307</v>
      </c>
    </row>
    <row r="59" spans="1:4" x14ac:dyDescent="0.2">
      <c r="A59" s="6" t="s">
        <v>29</v>
      </c>
      <c r="B59" s="6" t="s">
        <v>32</v>
      </c>
      <c r="C59" s="6" t="s">
        <v>8</v>
      </c>
      <c r="D59" s="7">
        <v>825834</v>
      </c>
    </row>
    <row r="60" spans="1:4" x14ac:dyDescent="0.2">
      <c r="A60" s="6" t="s">
        <v>29</v>
      </c>
      <c r="B60" s="6" t="s">
        <v>33</v>
      </c>
      <c r="C60" s="6" t="s">
        <v>9</v>
      </c>
      <c r="D60" s="7">
        <v>853823</v>
      </c>
    </row>
    <row r="61" spans="1:4" x14ac:dyDescent="0.2">
      <c r="A61" s="6" t="s">
        <v>29</v>
      </c>
      <c r="B61" s="6" t="s">
        <v>33</v>
      </c>
      <c r="C61" s="6" t="s">
        <v>10</v>
      </c>
      <c r="D61" s="7">
        <v>213080</v>
      </c>
    </row>
    <row r="62" spans="1:4" x14ac:dyDescent="0.2">
      <c r="A62" s="6" t="s">
        <v>29</v>
      </c>
      <c r="B62" s="6" t="s">
        <v>33</v>
      </c>
      <c r="C62" s="6" t="s">
        <v>34</v>
      </c>
      <c r="D62" s="7">
        <v>333296</v>
      </c>
    </row>
    <row r="63" spans="1:4" x14ac:dyDescent="0.2">
      <c r="A63" s="6" t="s">
        <v>29</v>
      </c>
      <c r="B63" s="6" t="s">
        <v>35</v>
      </c>
      <c r="C63" s="6" t="s">
        <v>48</v>
      </c>
      <c r="D63" s="7">
        <v>185784</v>
      </c>
    </row>
    <row r="64" spans="1:4" x14ac:dyDescent="0.2">
      <c r="A64" s="6" t="s">
        <v>29</v>
      </c>
      <c r="B64" s="6" t="s">
        <v>35</v>
      </c>
      <c r="C64" s="6" t="s">
        <v>36</v>
      </c>
      <c r="D64" s="7">
        <v>19169</v>
      </c>
    </row>
    <row r="65" spans="1:4" x14ac:dyDescent="0.2">
      <c r="A65" s="6" t="s">
        <v>30</v>
      </c>
      <c r="B65" s="6" t="s">
        <v>32</v>
      </c>
      <c r="C65" s="6" t="s">
        <v>7</v>
      </c>
      <c r="D65" s="7">
        <v>1045178</v>
      </c>
    </row>
    <row r="66" spans="1:4" x14ac:dyDescent="0.2">
      <c r="A66" s="6" t="s">
        <v>30</v>
      </c>
      <c r="B66" s="6" t="s">
        <v>32</v>
      </c>
      <c r="C66" s="6" t="s">
        <v>8</v>
      </c>
      <c r="D66" s="7">
        <v>911055</v>
      </c>
    </row>
    <row r="67" spans="1:4" x14ac:dyDescent="0.2">
      <c r="A67" s="6" t="s">
        <v>30</v>
      </c>
      <c r="B67" s="6" t="s">
        <v>33</v>
      </c>
      <c r="C67" s="6" t="s">
        <v>9</v>
      </c>
      <c r="D67" s="7">
        <v>957208</v>
      </c>
    </row>
    <row r="68" spans="1:4" x14ac:dyDescent="0.2">
      <c r="A68" s="6" t="s">
        <v>30</v>
      </c>
      <c r="B68" s="6" t="s">
        <v>33</v>
      </c>
      <c r="C68" s="6" t="s">
        <v>10</v>
      </c>
      <c r="D68" s="7">
        <v>233119</v>
      </c>
    </row>
    <row r="69" spans="1:4" x14ac:dyDescent="0.2">
      <c r="A69" s="6" t="s">
        <v>30</v>
      </c>
      <c r="B69" s="6" t="s">
        <v>33</v>
      </c>
      <c r="C69" s="6" t="s">
        <v>34</v>
      </c>
      <c r="D69" s="7">
        <v>309291</v>
      </c>
    </row>
    <row r="70" spans="1:4" x14ac:dyDescent="0.2">
      <c r="A70" s="6" t="s">
        <v>30</v>
      </c>
      <c r="B70" s="6" t="s">
        <v>35</v>
      </c>
      <c r="C70" s="6" t="s">
        <v>48</v>
      </c>
      <c r="D70" s="7">
        <v>308424</v>
      </c>
    </row>
    <row r="71" spans="1:4" x14ac:dyDescent="0.2">
      <c r="A71" s="6" t="s">
        <v>30</v>
      </c>
      <c r="B71" s="6" t="s">
        <v>35</v>
      </c>
      <c r="C71" s="6" t="s">
        <v>36</v>
      </c>
      <c r="D71" s="7">
        <v>40435</v>
      </c>
    </row>
    <row r="72" spans="1:4" x14ac:dyDescent="0.2">
      <c r="A72" s="6" t="s">
        <v>42</v>
      </c>
      <c r="B72" s="6" t="s">
        <v>32</v>
      </c>
      <c r="C72" s="6" t="s">
        <v>7</v>
      </c>
      <c r="D72" s="7">
        <v>1257000</v>
      </c>
    </row>
    <row r="73" spans="1:4" x14ac:dyDescent="0.2">
      <c r="A73" s="6" t="s">
        <v>42</v>
      </c>
      <c r="B73" s="6" t="s">
        <v>32</v>
      </c>
      <c r="C73" s="6" t="s">
        <v>8</v>
      </c>
      <c r="D73" s="7">
        <v>980000</v>
      </c>
    </row>
    <row r="74" spans="1:4" x14ac:dyDescent="0.2">
      <c r="A74" s="6" t="s">
        <v>42</v>
      </c>
      <c r="B74" s="6" t="s">
        <v>33</v>
      </c>
      <c r="C74" s="6" t="s">
        <v>9</v>
      </c>
      <c r="D74" s="7">
        <v>1061899</v>
      </c>
    </row>
    <row r="75" spans="1:4" x14ac:dyDescent="0.2">
      <c r="A75" s="6" t="s">
        <v>42</v>
      </c>
      <c r="B75" s="6" t="s">
        <v>33</v>
      </c>
      <c r="C75" s="6" t="s">
        <v>10</v>
      </c>
      <c r="D75" s="7">
        <v>235000</v>
      </c>
    </row>
    <row r="76" spans="1:4" x14ac:dyDescent="0.2">
      <c r="A76" s="6" t="s">
        <v>42</v>
      </c>
      <c r="B76" s="6" t="s">
        <v>33</v>
      </c>
      <c r="C76" s="6" t="s">
        <v>34</v>
      </c>
      <c r="D76" s="7">
        <v>305000</v>
      </c>
    </row>
    <row r="77" spans="1:4" x14ac:dyDescent="0.2">
      <c r="A77" s="6" t="s">
        <v>42</v>
      </c>
      <c r="B77" s="6" t="s">
        <v>35</v>
      </c>
      <c r="C77" s="6" t="s">
        <v>48</v>
      </c>
      <c r="D77" s="7">
        <v>325000</v>
      </c>
    </row>
    <row r="78" spans="1:4" x14ac:dyDescent="0.2">
      <c r="A78" s="6" t="s">
        <v>42</v>
      </c>
      <c r="B78" s="6" t="s">
        <v>35</v>
      </c>
      <c r="C78" s="6" t="s">
        <v>36</v>
      </c>
      <c r="D78" s="7">
        <v>47738</v>
      </c>
    </row>
    <row r="79" spans="1:4" x14ac:dyDescent="0.2">
      <c r="A79" s="6" t="s">
        <v>43</v>
      </c>
      <c r="B79" s="6" t="s">
        <v>32</v>
      </c>
      <c r="C79" s="6" t="s">
        <v>7</v>
      </c>
      <c r="D79" s="7">
        <v>1438000</v>
      </c>
    </row>
    <row r="80" spans="1:4" x14ac:dyDescent="0.2">
      <c r="A80" s="6" t="s">
        <v>43</v>
      </c>
      <c r="B80" s="6" t="s">
        <v>32</v>
      </c>
      <c r="C80" s="6" t="s">
        <v>8</v>
      </c>
      <c r="D80" s="7">
        <v>1082000</v>
      </c>
    </row>
    <row r="81" spans="1:4" x14ac:dyDescent="0.2">
      <c r="A81" s="6" t="s">
        <v>43</v>
      </c>
      <c r="B81" s="6" t="s">
        <v>33</v>
      </c>
      <c r="C81" s="6" t="s">
        <v>9</v>
      </c>
      <c r="D81" s="7">
        <v>1178000</v>
      </c>
    </row>
    <row r="82" spans="1:4" x14ac:dyDescent="0.2">
      <c r="A82" s="6" t="s">
        <v>43</v>
      </c>
      <c r="B82" s="6" t="s">
        <v>33</v>
      </c>
      <c r="C82" s="6" t="s">
        <v>10</v>
      </c>
      <c r="D82" s="7">
        <v>240000</v>
      </c>
    </row>
    <row r="83" spans="1:4" x14ac:dyDescent="0.2">
      <c r="A83" s="6" t="s">
        <v>43</v>
      </c>
      <c r="B83" s="6" t="s">
        <v>33</v>
      </c>
      <c r="C83" s="6" t="s">
        <v>34</v>
      </c>
      <c r="D83" s="7">
        <v>317000</v>
      </c>
    </row>
    <row r="84" spans="1:4" x14ac:dyDescent="0.2">
      <c r="A84" s="6" t="s">
        <v>43</v>
      </c>
      <c r="B84" s="6" t="s">
        <v>35</v>
      </c>
      <c r="C84" s="6" t="s">
        <v>48</v>
      </c>
      <c r="D84" s="7">
        <v>375590</v>
      </c>
    </row>
    <row r="85" spans="1:4" x14ac:dyDescent="0.2">
      <c r="A85" s="6" t="s">
        <v>43</v>
      </c>
      <c r="B85" s="6" t="s">
        <v>35</v>
      </c>
      <c r="C85" s="6" t="s">
        <v>36</v>
      </c>
      <c r="D85" s="7">
        <v>50250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BED88-C784-974E-B9DA-6F1ECFF51118}">
  <dimension ref="A1:D85"/>
  <sheetViews>
    <sheetView zoomScale="125" workbookViewId="0">
      <selection activeCell="E8" sqref="E8"/>
    </sheetView>
  </sheetViews>
  <sheetFormatPr baseColWidth="10" defaultRowHeight="16" x14ac:dyDescent="0.2"/>
  <cols>
    <col min="1" max="1" width="15.5" customWidth="1"/>
    <col min="2" max="2" width="15.6640625" bestFit="1" customWidth="1"/>
    <col min="3" max="3" width="17.33203125" bestFit="1" customWidth="1"/>
    <col min="4" max="4" width="17.83203125" bestFit="1" customWidth="1"/>
  </cols>
  <sheetData>
    <row r="1" spans="1:4" x14ac:dyDescent="0.2">
      <c r="A1" s="2" t="s">
        <v>17</v>
      </c>
      <c r="B1" s="2" t="s">
        <v>18</v>
      </c>
      <c r="C1" s="2" t="s">
        <v>59</v>
      </c>
      <c r="D1" s="2" t="s">
        <v>60</v>
      </c>
    </row>
    <row r="2" spans="1:4" x14ac:dyDescent="0.2">
      <c r="A2" s="6" t="s">
        <v>21</v>
      </c>
      <c r="B2" s="6" t="s">
        <v>11</v>
      </c>
      <c r="C2" s="6" t="s">
        <v>38</v>
      </c>
      <c r="D2" s="7">
        <v>212904</v>
      </c>
    </row>
    <row r="3" spans="1:4" x14ac:dyDescent="0.2">
      <c r="A3" s="6" t="s">
        <v>21</v>
      </c>
      <c r="B3" s="6" t="s">
        <v>11</v>
      </c>
      <c r="C3" s="6" t="s">
        <v>39</v>
      </c>
      <c r="D3" s="7">
        <v>81965</v>
      </c>
    </row>
    <row r="4" spans="1:4" x14ac:dyDescent="0.2">
      <c r="A4" s="6" t="s">
        <v>21</v>
      </c>
      <c r="B4" s="6" t="s">
        <v>12</v>
      </c>
      <c r="C4" s="6" t="s">
        <v>38</v>
      </c>
      <c r="D4" s="7">
        <v>69074</v>
      </c>
    </row>
    <row r="5" spans="1:4" x14ac:dyDescent="0.2">
      <c r="A5" s="6" t="s">
        <v>21</v>
      </c>
      <c r="B5" s="6" t="s">
        <v>13</v>
      </c>
      <c r="C5" s="6" t="s">
        <v>38</v>
      </c>
      <c r="D5" s="7">
        <v>33278</v>
      </c>
    </row>
    <row r="6" spans="1:4" x14ac:dyDescent="0.2">
      <c r="A6" s="6" t="s">
        <v>21</v>
      </c>
      <c r="B6" s="6" t="s">
        <v>14</v>
      </c>
      <c r="C6" s="6" t="s">
        <v>38</v>
      </c>
      <c r="D6" s="7">
        <v>22652</v>
      </c>
    </row>
    <row r="7" spans="1:4" x14ac:dyDescent="0.2">
      <c r="A7" s="6" t="s">
        <v>21</v>
      </c>
      <c r="B7" s="6" t="s">
        <v>15</v>
      </c>
      <c r="C7" s="6" t="s">
        <v>39</v>
      </c>
      <c r="D7" s="7">
        <v>90180</v>
      </c>
    </row>
    <row r="8" spans="1:4" x14ac:dyDescent="0.2">
      <c r="A8" s="6" t="s">
        <v>21</v>
      </c>
      <c r="B8" s="6" t="s">
        <v>16</v>
      </c>
      <c r="C8" s="6" t="s">
        <v>38</v>
      </c>
      <c r="D8" s="7">
        <v>402444</v>
      </c>
    </row>
    <row r="9" spans="1:4" x14ac:dyDescent="0.2">
      <c r="A9" s="6" t="s">
        <v>22</v>
      </c>
      <c r="B9" s="6" t="s">
        <v>11</v>
      </c>
      <c r="C9" s="6" t="s">
        <v>38</v>
      </c>
      <c r="D9" s="7">
        <v>167946</v>
      </c>
    </row>
    <row r="10" spans="1:4" x14ac:dyDescent="0.2">
      <c r="A10" s="6" t="s">
        <v>22</v>
      </c>
      <c r="B10" s="6" t="s">
        <v>11</v>
      </c>
      <c r="C10" s="6" t="s">
        <v>39</v>
      </c>
      <c r="D10" s="7">
        <v>62451</v>
      </c>
    </row>
    <row r="11" spans="1:4" x14ac:dyDescent="0.2">
      <c r="A11" s="6" t="s">
        <v>22</v>
      </c>
      <c r="B11" s="6" t="s">
        <v>12</v>
      </c>
      <c r="C11" s="6" t="s">
        <v>38</v>
      </c>
      <c r="D11" s="7">
        <v>72394</v>
      </c>
    </row>
    <row r="12" spans="1:4" x14ac:dyDescent="0.2">
      <c r="A12" s="6" t="s">
        <v>22</v>
      </c>
      <c r="B12" s="6" t="s">
        <v>13</v>
      </c>
      <c r="C12" s="6" t="s">
        <v>38</v>
      </c>
      <c r="D12" s="7">
        <v>33152</v>
      </c>
    </row>
    <row r="13" spans="1:4" x14ac:dyDescent="0.2">
      <c r="A13" s="6" t="s">
        <v>22</v>
      </c>
      <c r="B13" s="6" t="s">
        <v>14</v>
      </c>
      <c r="C13" s="6" t="s">
        <v>38</v>
      </c>
      <c r="D13" s="7">
        <v>22978</v>
      </c>
    </row>
    <row r="14" spans="1:4" x14ac:dyDescent="0.2">
      <c r="A14" s="6" t="s">
        <v>22</v>
      </c>
      <c r="B14" s="6" t="s">
        <v>15</v>
      </c>
      <c r="C14" s="6" t="s">
        <v>39</v>
      </c>
      <c r="D14" s="7">
        <v>101785</v>
      </c>
    </row>
    <row r="15" spans="1:4" x14ac:dyDescent="0.2">
      <c r="A15" s="6" t="s">
        <v>22</v>
      </c>
      <c r="B15" s="6" t="s">
        <v>16</v>
      </c>
      <c r="C15" s="6" t="s">
        <v>38</v>
      </c>
      <c r="D15" s="7">
        <v>441659</v>
      </c>
    </row>
    <row r="16" spans="1:4" x14ac:dyDescent="0.2">
      <c r="A16" s="6" t="s">
        <v>23</v>
      </c>
      <c r="B16" s="6" t="s">
        <v>11</v>
      </c>
      <c r="C16" s="6" t="s">
        <v>38</v>
      </c>
      <c r="D16" s="7">
        <v>192607</v>
      </c>
    </row>
    <row r="17" spans="1:4" x14ac:dyDescent="0.2">
      <c r="A17" s="6" t="s">
        <v>23</v>
      </c>
      <c r="B17" s="6" t="s">
        <v>11</v>
      </c>
      <c r="C17" s="6" t="s">
        <v>39</v>
      </c>
      <c r="D17" s="7">
        <v>86488</v>
      </c>
    </row>
    <row r="18" spans="1:4" x14ac:dyDescent="0.2">
      <c r="A18" s="6" t="s">
        <v>23</v>
      </c>
      <c r="B18" s="6" t="s">
        <v>12</v>
      </c>
      <c r="C18" s="6" t="s">
        <v>38</v>
      </c>
      <c r="D18" s="7">
        <v>79686</v>
      </c>
    </row>
    <row r="19" spans="1:4" x14ac:dyDescent="0.2">
      <c r="A19" s="6" t="s">
        <v>23</v>
      </c>
      <c r="B19" s="6" t="s">
        <v>13</v>
      </c>
      <c r="C19" s="6" t="s">
        <v>38</v>
      </c>
      <c r="D19" s="7">
        <v>39879</v>
      </c>
    </row>
    <row r="20" spans="1:4" x14ac:dyDescent="0.2">
      <c r="A20" s="6" t="s">
        <v>23</v>
      </c>
      <c r="B20" s="6" t="s">
        <v>14</v>
      </c>
      <c r="C20" s="6" t="s">
        <v>38</v>
      </c>
      <c r="D20" s="7">
        <v>35792</v>
      </c>
    </row>
    <row r="21" spans="1:4" x14ac:dyDescent="0.2">
      <c r="A21" s="6" t="s">
        <v>23</v>
      </c>
      <c r="B21" s="6" t="s">
        <v>15</v>
      </c>
      <c r="C21" s="6" t="s">
        <v>39</v>
      </c>
      <c r="D21" s="7">
        <v>123907</v>
      </c>
    </row>
    <row r="22" spans="1:4" x14ac:dyDescent="0.2">
      <c r="A22" s="6" t="s">
        <v>23</v>
      </c>
      <c r="B22" s="6" t="s">
        <v>16</v>
      </c>
      <c r="C22" s="6" t="s">
        <v>38</v>
      </c>
      <c r="D22" s="7">
        <v>480714</v>
      </c>
    </row>
    <row r="23" spans="1:4" x14ac:dyDescent="0.2">
      <c r="A23" s="6" t="s">
        <v>24</v>
      </c>
      <c r="B23" s="6" t="s">
        <v>11</v>
      </c>
      <c r="C23" s="6" t="s">
        <v>38</v>
      </c>
      <c r="D23" s="7">
        <v>207842</v>
      </c>
    </row>
    <row r="24" spans="1:4" x14ac:dyDescent="0.2">
      <c r="A24" s="6" t="s">
        <v>24</v>
      </c>
      <c r="B24" s="6" t="s">
        <v>11</v>
      </c>
      <c r="C24" s="6" t="s">
        <v>39</v>
      </c>
      <c r="D24" s="7">
        <v>86488</v>
      </c>
    </row>
    <row r="25" spans="1:4" x14ac:dyDescent="0.2">
      <c r="A25" s="6" t="s">
        <v>24</v>
      </c>
      <c r="B25" s="6" t="s">
        <v>12</v>
      </c>
      <c r="C25" s="6" t="s">
        <v>38</v>
      </c>
      <c r="D25" s="7">
        <v>83626</v>
      </c>
    </row>
    <row r="26" spans="1:4" x14ac:dyDescent="0.2">
      <c r="A26" s="6" t="s">
        <v>24</v>
      </c>
      <c r="B26" s="6" t="s">
        <v>13</v>
      </c>
      <c r="C26" s="6" t="s">
        <v>38</v>
      </c>
      <c r="D26" s="7">
        <v>48853</v>
      </c>
    </row>
    <row r="27" spans="1:4" x14ac:dyDescent="0.2">
      <c r="A27" s="6" t="s">
        <v>24</v>
      </c>
      <c r="B27" s="6" t="s">
        <v>14</v>
      </c>
      <c r="C27" s="6" t="s">
        <v>38</v>
      </c>
      <c r="D27" s="7">
        <v>43068</v>
      </c>
    </row>
    <row r="28" spans="1:4" x14ac:dyDescent="0.2">
      <c r="A28" s="6" t="s">
        <v>24</v>
      </c>
      <c r="B28" s="6" t="s">
        <v>15</v>
      </c>
      <c r="C28" s="6" t="s">
        <v>39</v>
      </c>
      <c r="D28" s="7">
        <v>151836</v>
      </c>
    </row>
    <row r="29" spans="1:4" x14ac:dyDescent="0.2">
      <c r="A29" s="6" t="s">
        <v>24</v>
      </c>
      <c r="B29" s="6" t="s">
        <v>16</v>
      </c>
      <c r="C29" s="6" t="s">
        <v>38</v>
      </c>
      <c r="D29" s="7">
        <v>528952</v>
      </c>
    </row>
    <row r="30" spans="1:4" x14ac:dyDescent="0.2">
      <c r="A30" s="6" t="s">
        <v>25</v>
      </c>
      <c r="B30" s="6" t="s">
        <v>11</v>
      </c>
      <c r="C30" s="6" t="s">
        <v>38</v>
      </c>
      <c r="D30" s="7">
        <v>295511</v>
      </c>
    </row>
    <row r="31" spans="1:4" x14ac:dyDescent="0.2">
      <c r="A31" s="6" t="s">
        <v>25</v>
      </c>
      <c r="B31" s="6" t="s">
        <v>11</v>
      </c>
      <c r="C31" s="6" t="s">
        <v>39</v>
      </c>
      <c r="D31" s="7">
        <v>99564</v>
      </c>
    </row>
    <row r="32" spans="1:4" x14ac:dyDescent="0.2">
      <c r="A32" s="6" t="s">
        <v>25</v>
      </c>
      <c r="B32" s="6" t="s">
        <v>12</v>
      </c>
      <c r="C32" s="6" t="s">
        <v>38</v>
      </c>
      <c r="D32" s="7">
        <v>85698</v>
      </c>
    </row>
    <row r="33" spans="1:4" x14ac:dyDescent="0.2">
      <c r="A33" s="6" t="s">
        <v>25</v>
      </c>
      <c r="B33" s="6" t="s">
        <v>13</v>
      </c>
      <c r="C33" s="6" t="s">
        <v>38</v>
      </c>
      <c r="D33" s="7">
        <v>54667</v>
      </c>
    </row>
    <row r="34" spans="1:4" x14ac:dyDescent="0.2">
      <c r="A34" s="6" t="s">
        <v>25</v>
      </c>
      <c r="B34" s="6" t="s">
        <v>14</v>
      </c>
      <c r="C34" s="6" t="s">
        <v>38</v>
      </c>
      <c r="D34" s="7">
        <v>57600</v>
      </c>
    </row>
    <row r="35" spans="1:4" x14ac:dyDescent="0.2">
      <c r="A35" s="6" t="s">
        <v>25</v>
      </c>
      <c r="B35" s="6" t="s">
        <v>15</v>
      </c>
      <c r="C35" s="6" t="s">
        <v>39</v>
      </c>
      <c r="D35" s="7">
        <v>172618</v>
      </c>
    </row>
    <row r="36" spans="1:4" x14ac:dyDescent="0.2">
      <c r="A36" s="6" t="s">
        <v>25</v>
      </c>
      <c r="B36" s="6" t="s">
        <v>16</v>
      </c>
      <c r="C36" s="6" t="s">
        <v>38</v>
      </c>
      <c r="D36" s="7">
        <v>582648</v>
      </c>
    </row>
    <row r="37" spans="1:4" x14ac:dyDescent="0.2">
      <c r="A37" s="6" t="s">
        <v>26</v>
      </c>
      <c r="B37" s="6" t="s">
        <v>11</v>
      </c>
      <c r="C37" s="6" t="s">
        <v>38</v>
      </c>
      <c r="D37" s="7">
        <v>318931</v>
      </c>
    </row>
    <row r="38" spans="1:4" x14ac:dyDescent="0.2">
      <c r="A38" s="6" t="s">
        <v>26</v>
      </c>
      <c r="B38" s="6" t="s">
        <v>11</v>
      </c>
      <c r="C38" s="6" t="s">
        <v>39</v>
      </c>
      <c r="D38" s="7">
        <v>103380</v>
      </c>
    </row>
    <row r="39" spans="1:4" x14ac:dyDescent="0.2">
      <c r="A39" s="6" t="s">
        <v>26</v>
      </c>
      <c r="B39" s="6" t="s">
        <v>12</v>
      </c>
      <c r="C39" s="6" t="s">
        <v>38</v>
      </c>
      <c r="D39" s="7">
        <v>93224</v>
      </c>
    </row>
    <row r="40" spans="1:4" x14ac:dyDescent="0.2">
      <c r="A40" s="6" t="s">
        <v>26</v>
      </c>
      <c r="B40" s="6" t="s">
        <v>13</v>
      </c>
      <c r="C40" s="6" t="s">
        <v>38</v>
      </c>
      <c r="D40" s="7">
        <v>64999</v>
      </c>
    </row>
    <row r="41" spans="1:4" x14ac:dyDescent="0.2">
      <c r="A41" s="6" t="s">
        <v>26</v>
      </c>
      <c r="B41" s="6" t="s">
        <v>14</v>
      </c>
      <c r="C41" s="6" t="s">
        <v>38</v>
      </c>
      <c r="D41" s="7">
        <v>102032</v>
      </c>
    </row>
    <row r="42" spans="1:4" x14ac:dyDescent="0.2">
      <c r="A42" s="6" t="s">
        <v>26</v>
      </c>
      <c r="B42" s="6" t="s">
        <v>15</v>
      </c>
      <c r="C42" s="6" t="s">
        <v>39</v>
      </c>
      <c r="D42" s="7">
        <v>195044</v>
      </c>
    </row>
    <row r="43" spans="1:4" x14ac:dyDescent="0.2">
      <c r="A43" s="6" t="s">
        <v>26</v>
      </c>
      <c r="B43" s="6" t="s">
        <v>16</v>
      </c>
      <c r="C43" s="6" t="s">
        <v>38</v>
      </c>
      <c r="D43" s="7">
        <v>612070</v>
      </c>
    </row>
    <row r="44" spans="1:4" x14ac:dyDescent="0.2">
      <c r="A44" s="6" t="s">
        <v>27</v>
      </c>
      <c r="B44" s="6" t="s">
        <v>11</v>
      </c>
      <c r="C44" s="6" t="s">
        <v>38</v>
      </c>
      <c r="D44" s="7">
        <v>337553</v>
      </c>
    </row>
    <row r="45" spans="1:4" x14ac:dyDescent="0.2">
      <c r="A45" s="6" t="s">
        <v>27</v>
      </c>
      <c r="B45" s="6" t="s">
        <v>11</v>
      </c>
      <c r="C45" s="6" t="s">
        <v>39</v>
      </c>
      <c r="D45" s="7">
        <v>118555</v>
      </c>
    </row>
    <row r="46" spans="1:4" x14ac:dyDescent="0.2">
      <c r="A46" s="6" t="s">
        <v>27</v>
      </c>
      <c r="B46" s="6" t="s">
        <v>12</v>
      </c>
      <c r="C46" s="6" t="s">
        <v>38</v>
      </c>
      <c r="D46" s="7">
        <v>85089</v>
      </c>
    </row>
    <row r="47" spans="1:4" x14ac:dyDescent="0.2">
      <c r="A47" s="6" t="s">
        <v>27</v>
      </c>
      <c r="B47" s="6" t="s">
        <v>13</v>
      </c>
      <c r="C47" s="6" t="s">
        <v>38</v>
      </c>
      <c r="D47" s="7">
        <v>79566</v>
      </c>
    </row>
    <row r="48" spans="1:4" x14ac:dyDescent="0.2">
      <c r="A48" s="6" t="s">
        <v>27</v>
      </c>
      <c r="B48" s="6" t="s">
        <v>14</v>
      </c>
      <c r="C48" s="6" t="s">
        <v>38</v>
      </c>
      <c r="D48" s="7">
        <v>123081</v>
      </c>
    </row>
    <row r="49" spans="1:4" x14ac:dyDescent="0.2">
      <c r="A49" s="6" t="s">
        <v>27</v>
      </c>
      <c r="B49" s="6" t="s">
        <v>15</v>
      </c>
      <c r="C49" s="6" t="s">
        <v>39</v>
      </c>
      <c r="D49" s="7">
        <v>186161</v>
      </c>
    </row>
    <row r="50" spans="1:4" x14ac:dyDescent="0.2">
      <c r="A50" s="6" t="s">
        <v>27</v>
      </c>
      <c r="B50" s="6" t="s">
        <v>16</v>
      </c>
      <c r="C50" s="6" t="s">
        <v>38</v>
      </c>
      <c r="D50" s="7">
        <v>692900</v>
      </c>
    </row>
    <row r="51" spans="1:4" x14ac:dyDescent="0.2">
      <c r="A51" s="6" t="s">
        <v>28</v>
      </c>
      <c r="B51" s="6" t="s">
        <v>11</v>
      </c>
      <c r="C51" s="6" t="s">
        <v>38</v>
      </c>
      <c r="D51" s="7">
        <v>372531</v>
      </c>
    </row>
    <row r="52" spans="1:4" x14ac:dyDescent="0.2">
      <c r="A52" s="6" t="s">
        <v>28</v>
      </c>
      <c r="B52" s="6" t="s">
        <v>11</v>
      </c>
      <c r="C52" s="6" t="s">
        <v>39</v>
      </c>
      <c r="D52" s="7">
        <v>128150</v>
      </c>
    </row>
    <row r="53" spans="1:4" x14ac:dyDescent="0.2">
      <c r="A53" s="6" t="s">
        <v>28</v>
      </c>
      <c r="B53" s="6" t="s">
        <v>12</v>
      </c>
      <c r="C53" s="6" t="s">
        <v>38</v>
      </c>
      <c r="D53" s="7">
        <v>104278</v>
      </c>
    </row>
    <row r="54" spans="1:4" x14ac:dyDescent="0.2">
      <c r="A54" s="6" t="s">
        <v>28</v>
      </c>
      <c r="B54" s="6" t="s">
        <v>13</v>
      </c>
      <c r="C54" s="6" t="s">
        <v>38</v>
      </c>
      <c r="D54" s="7">
        <v>79145</v>
      </c>
    </row>
    <row r="55" spans="1:4" x14ac:dyDescent="0.2">
      <c r="A55" s="6" t="s">
        <v>28</v>
      </c>
      <c r="B55" s="6" t="s">
        <v>14</v>
      </c>
      <c r="C55" s="6" t="s">
        <v>38</v>
      </c>
      <c r="D55" s="7">
        <v>123526</v>
      </c>
    </row>
    <row r="56" spans="1:4" x14ac:dyDescent="0.2">
      <c r="A56" s="6" t="s">
        <v>28</v>
      </c>
      <c r="B56" s="6" t="s">
        <v>15</v>
      </c>
      <c r="C56" s="6" t="s">
        <v>39</v>
      </c>
      <c r="D56" s="7">
        <v>283611</v>
      </c>
    </row>
    <row r="57" spans="1:4" x14ac:dyDescent="0.2">
      <c r="A57" s="6" t="s">
        <v>28</v>
      </c>
      <c r="B57" s="6" t="s">
        <v>16</v>
      </c>
      <c r="C57" s="6" t="s">
        <v>38</v>
      </c>
      <c r="D57" s="7">
        <v>813000</v>
      </c>
    </row>
    <row r="58" spans="1:4" x14ac:dyDescent="0.2">
      <c r="A58" s="6" t="s">
        <v>29</v>
      </c>
      <c r="B58" s="6" t="s">
        <v>11</v>
      </c>
      <c r="C58" s="6" t="s">
        <v>38</v>
      </c>
      <c r="D58" s="7">
        <v>401028</v>
      </c>
    </row>
    <row r="59" spans="1:4" x14ac:dyDescent="0.2">
      <c r="A59" s="6" t="s">
        <v>29</v>
      </c>
      <c r="B59" s="6" t="s">
        <v>11</v>
      </c>
      <c r="C59" s="6" t="s">
        <v>39</v>
      </c>
      <c r="D59" s="7">
        <v>142337</v>
      </c>
    </row>
    <row r="60" spans="1:4" x14ac:dyDescent="0.2">
      <c r="A60" s="6" t="s">
        <v>29</v>
      </c>
      <c r="B60" s="6" t="s">
        <v>12</v>
      </c>
      <c r="C60" s="6" t="s">
        <v>38</v>
      </c>
      <c r="D60" s="7">
        <v>100312</v>
      </c>
    </row>
    <row r="61" spans="1:4" x14ac:dyDescent="0.2">
      <c r="A61" s="6" t="s">
        <v>29</v>
      </c>
      <c r="B61" s="6" t="s">
        <v>13</v>
      </c>
      <c r="C61" s="6" t="s">
        <v>38</v>
      </c>
      <c r="D61" s="7">
        <v>79145</v>
      </c>
    </row>
    <row r="62" spans="1:4" x14ac:dyDescent="0.2">
      <c r="A62" s="6" t="s">
        <v>29</v>
      </c>
      <c r="B62" s="6" t="s">
        <v>14</v>
      </c>
      <c r="C62" s="6" t="s">
        <v>38</v>
      </c>
      <c r="D62" s="7">
        <v>112899</v>
      </c>
    </row>
    <row r="63" spans="1:4" x14ac:dyDescent="0.2">
      <c r="A63" s="6" t="s">
        <v>29</v>
      </c>
      <c r="B63" s="6" t="s">
        <v>15</v>
      </c>
      <c r="C63" s="6" t="s">
        <v>39</v>
      </c>
      <c r="D63" s="7">
        <v>344526</v>
      </c>
    </row>
    <row r="64" spans="1:4" x14ac:dyDescent="0.2">
      <c r="A64" s="6" t="s">
        <v>29</v>
      </c>
      <c r="B64" s="6" t="s">
        <v>16</v>
      </c>
      <c r="C64" s="6" t="s">
        <v>38</v>
      </c>
      <c r="D64" s="7">
        <v>940651</v>
      </c>
    </row>
    <row r="65" spans="1:4" x14ac:dyDescent="0.2">
      <c r="A65" s="6" t="s">
        <v>30</v>
      </c>
      <c r="B65" s="6" t="s">
        <v>11</v>
      </c>
      <c r="C65" s="6" t="s">
        <v>38</v>
      </c>
      <c r="D65" s="7">
        <v>444699</v>
      </c>
    </row>
    <row r="66" spans="1:4" x14ac:dyDescent="0.2">
      <c r="A66" s="6" t="s">
        <v>30</v>
      </c>
      <c r="B66" s="6" t="s">
        <v>11</v>
      </c>
      <c r="C66" s="6" t="s">
        <v>39</v>
      </c>
      <c r="D66" s="7">
        <v>164805</v>
      </c>
    </row>
    <row r="67" spans="1:4" x14ac:dyDescent="0.2">
      <c r="A67" s="6" t="s">
        <v>30</v>
      </c>
      <c r="B67" s="6" t="s">
        <v>12</v>
      </c>
      <c r="C67" s="6" t="s">
        <v>38</v>
      </c>
      <c r="D67" s="7">
        <v>110736</v>
      </c>
    </row>
    <row r="68" spans="1:4" x14ac:dyDescent="0.2">
      <c r="A68" s="6" t="s">
        <v>30</v>
      </c>
      <c r="B68" s="6" t="s">
        <v>13</v>
      </c>
      <c r="C68" s="6" t="s">
        <v>38</v>
      </c>
      <c r="D68" s="7">
        <v>88353</v>
      </c>
    </row>
    <row r="69" spans="1:4" x14ac:dyDescent="0.2">
      <c r="A69" s="6" t="s">
        <v>30</v>
      </c>
      <c r="B69" s="6" t="s">
        <v>14</v>
      </c>
      <c r="C69" s="6" t="s">
        <v>38</v>
      </c>
      <c r="D69" s="7">
        <v>118147</v>
      </c>
    </row>
    <row r="70" spans="1:4" x14ac:dyDescent="0.2">
      <c r="A70" s="6" t="s">
        <v>30</v>
      </c>
      <c r="B70" s="6" t="s">
        <v>15</v>
      </c>
      <c r="C70" s="6" t="s">
        <v>39</v>
      </c>
      <c r="D70" s="7">
        <v>420517</v>
      </c>
    </row>
    <row r="71" spans="1:4" x14ac:dyDescent="0.2">
      <c r="A71" s="6" t="s">
        <v>30</v>
      </c>
      <c r="B71" s="6" t="s">
        <v>16</v>
      </c>
      <c r="C71" s="6" t="s">
        <v>38</v>
      </c>
      <c r="D71" s="7">
        <v>1063872</v>
      </c>
    </row>
    <row r="72" spans="1:4" x14ac:dyDescent="0.2">
      <c r="A72" s="6" t="s">
        <v>42</v>
      </c>
      <c r="B72" s="6" t="s">
        <v>11</v>
      </c>
      <c r="C72" s="6" t="s">
        <v>38</v>
      </c>
      <c r="D72" s="7">
        <v>456722</v>
      </c>
    </row>
    <row r="73" spans="1:4" x14ac:dyDescent="0.2">
      <c r="A73" s="6" t="s">
        <v>42</v>
      </c>
      <c r="B73" s="6" t="s">
        <v>11</v>
      </c>
      <c r="C73" s="6" t="s">
        <v>39</v>
      </c>
      <c r="D73" s="7">
        <v>172000</v>
      </c>
    </row>
    <row r="74" spans="1:4" x14ac:dyDescent="0.2">
      <c r="A74" s="6" t="s">
        <v>42</v>
      </c>
      <c r="B74" s="6" t="s">
        <v>12</v>
      </c>
      <c r="C74" s="6" t="s">
        <v>38</v>
      </c>
      <c r="D74" s="7">
        <v>114054</v>
      </c>
    </row>
    <row r="75" spans="1:4" x14ac:dyDescent="0.2">
      <c r="A75" s="6" t="s">
        <v>42</v>
      </c>
      <c r="B75" s="6" t="s">
        <v>13</v>
      </c>
      <c r="C75" s="6" t="s">
        <v>38</v>
      </c>
      <c r="D75" s="7">
        <v>94625</v>
      </c>
    </row>
    <row r="76" spans="1:4" x14ac:dyDescent="0.2">
      <c r="A76" s="6" t="s">
        <v>42</v>
      </c>
      <c r="B76" s="6" t="s">
        <v>14</v>
      </c>
      <c r="C76" s="6" t="s">
        <v>38</v>
      </c>
      <c r="D76" s="7">
        <v>141352</v>
      </c>
    </row>
    <row r="77" spans="1:4" x14ac:dyDescent="0.2">
      <c r="A77" s="6" t="s">
        <v>42</v>
      </c>
      <c r="B77" s="6" t="s">
        <v>15</v>
      </c>
      <c r="C77" s="6" t="s">
        <v>39</v>
      </c>
      <c r="D77" s="7">
        <v>435867</v>
      </c>
    </row>
    <row r="78" spans="1:4" x14ac:dyDescent="0.2">
      <c r="A78" s="6" t="s">
        <v>42</v>
      </c>
      <c r="B78" s="6" t="s">
        <v>16</v>
      </c>
      <c r="C78" s="6" t="s">
        <v>38</v>
      </c>
      <c r="D78" s="7">
        <v>1115575</v>
      </c>
    </row>
    <row r="79" spans="1:4" x14ac:dyDescent="0.2">
      <c r="A79" s="6" t="s">
        <v>43</v>
      </c>
      <c r="B79" s="6" t="s">
        <v>11</v>
      </c>
      <c r="C79" s="6" t="s">
        <v>38</v>
      </c>
      <c r="D79" s="7">
        <v>491732</v>
      </c>
    </row>
    <row r="80" spans="1:4" x14ac:dyDescent="0.2">
      <c r="A80" s="6" t="s">
        <v>43</v>
      </c>
      <c r="B80" s="6" t="s">
        <v>11</v>
      </c>
      <c r="C80" s="6" t="s">
        <v>39</v>
      </c>
      <c r="D80" s="7">
        <v>189478</v>
      </c>
    </row>
    <row r="81" spans="1:4" x14ac:dyDescent="0.2">
      <c r="A81" s="6" t="s">
        <v>43</v>
      </c>
      <c r="B81" s="6" t="s">
        <v>12</v>
      </c>
      <c r="C81" s="6" t="s">
        <v>38</v>
      </c>
      <c r="D81" s="7">
        <v>128650</v>
      </c>
    </row>
    <row r="82" spans="1:4" x14ac:dyDescent="0.2">
      <c r="A82" s="6" t="s">
        <v>43</v>
      </c>
      <c r="B82" s="6" t="s">
        <v>13</v>
      </c>
      <c r="C82" s="6" t="s">
        <v>38</v>
      </c>
      <c r="D82" s="7">
        <v>98311</v>
      </c>
    </row>
    <row r="83" spans="1:4" x14ac:dyDescent="0.2">
      <c r="A83" s="6" t="s">
        <v>43</v>
      </c>
      <c r="B83" s="6" t="s">
        <v>14</v>
      </c>
      <c r="C83" s="6" t="s">
        <v>38</v>
      </c>
      <c r="D83" s="7">
        <v>137757</v>
      </c>
    </row>
    <row r="84" spans="1:4" x14ac:dyDescent="0.2">
      <c r="A84" s="6" t="s">
        <v>43</v>
      </c>
      <c r="B84" s="6" t="s">
        <v>15</v>
      </c>
      <c r="C84" s="6" t="s">
        <v>39</v>
      </c>
      <c r="D84" s="7">
        <v>443000</v>
      </c>
    </row>
    <row r="85" spans="1:4" x14ac:dyDescent="0.2">
      <c r="A85" s="6" t="s">
        <v>43</v>
      </c>
      <c r="B85" s="6" t="s">
        <v>16</v>
      </c>
      <c r="C85" s="6" t="s">
        <v>38</v>
      </c>
      <c r="D85" s="7">
        <v>1276338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C9FBC-95B8-E441-878F-0D6CE1F1CADD}">
  <dimension ref="A1:E145"/>
  <sheetViews>
    <sheetView topLeftCell="A125" zoomScale="156" workbookViewId="0">
      <selection activeCell="E145" sqref="E145"/>
    </sheetView>
  </sheetViews>
  <sheetFormatPr baseColWidth="10" defaultRowHeight="16" x14ac:dyDescent="0.2"/>
  <cols>
    <col min="1" max="1" width="13.6640625" bestFit="1" customWidth="1"/>
    <col min="2" max="2" width="16.83203125" customWidth="1"/>
    <col min="3" max="3" width="19.6640625" bestFit="1" customWidth="1"/>
    <col min="4" max="4" width="22" customWidth="1"/>
    <col min="5" max="5" width="20.5" bestFit="1" customWidth="1"/>
    <col min="6" max="6" width="20" customWidth="1"/>
  </cols>
  <sheetData>
    <row r="1" spans="1:4" x14ac:dyDescent="0.2">
      <c r="A1" s="26" t="s">
        <v>17</v>
      </c>
      <c r="B1" s="26" t="s">
        <v>211</v>
      </c>
      <c r="C1" s="26" t="s">
        <v>224</v>
      </c>
      <c r="D1" s="26" t="s">
        <v>225</v>
      </c>
    </row>
    <row r="2" spans="1:4" x14ac:dyDescent="0.2">
      <c r="A2" s="24" t="s">
        <v>21</v>
      </c>
      <c r="B2" s="24" t="s">
        <v>212</v>
      </c>
      <c r="C2" s="27">
        <v>8.48</v>
      </c>
      <c r="D2" s="27">
        <v>60.1</v>
      </c>
    </row>
    <row r="3" spans="1:4" x14ac:dyDescent="0.2">
      <c r="A3" s="24" t="s">
        <v>21</v>
      </c>
      <c r="B3" s="24" t="s">
        <v>213</v>
      </c>
      <c r="C3" s="27">
        <v>8.33</v>
      </c>
      <c r="D3" s="27">
        <v>59.35</v>
      </c>
    </row>
    <row r="4" spans="1:4" x14ac:dyDescent="0.2">
      <c r="A4" s="24" t="s">
        <v>21</v>
      </c>
      <c r="B4" s="24" t="s">
        <v>214</v>
      </c>
      <c r="C4" s="27">
        <v>6.77</v>
      </c>
      <c r="D4" s="27">
        <v>59.72</v>
      </c>
    </row>
    <row r="5" spans="1:4" x14ac:dyDescent="0.2">
      <c r="A5" s="24" t="s">
        <v>21</v>
      </c>
      <c r="B5" s="24" t="s">
        <v>215</v>
      </c>
      <c r="C5" s="27">
        <v>7.39</v>
      </c>
      <c r="D5" s="27">
        <v>60.12</v>
      </c>
    </row>
    <row r="6" spans="1:4" x14ac:dyDescent="0.2">
      <c r="A6" s="24" t="s">
        <v>21</v>
      </c>
      <c r="B6" s="24" t="s">
        <v>216</v>
      </c>
      <c r="C6" s="27">
        <v>7.03</v>
      </c>
      <c r="D6" s="27">
        <v>60.67</v>
      </c>
    </row>
    <row r="7" spans="1:4" x14ac:dyDescent="0.2">
      <c r="A7" s="24" t="s">
        <v>21</v>
      </c>
      <c r="B7" s="24" t="s">
        <v>217</v>
      </c>
      <c r="C7" s="27">
        <v>5.63</v>
      </c>
      <c r="D7" s="27">
        <v>60.63</v>
      </c>
    </row>
    <row r="8" spans="1:4" x14ac:dyDescent="0.2">
      <c r="A8" s="24" t="s">
        <v>21</v>
      </c>
      <c r="B8" s="24" t="s">
        <v>218</v>
      </c>
      <c r="C8" s="27">
        <v>4.62</v>
      </c>
      <c r="D8" s="27">
        <v>61.43</v>
      </c>
    </row>
    <row r="9" spans="1:4" x14ac:dyDescent="0.2">
      <c r="A9" s="24" t="s">
        <v>21</v>
      </c>
      <c r="B9" s="24" t="s">
        <v>219</v>
      </c>
      <c r="C9" s="27">
        <v>3.27</v>
      </c>
      <c r="D9" s="27">
        <v>62.05</v>
      </c>
    </row>
    <row r="10" spans="1:4" x14ac:dyDescent="0.2">
      <c r="A10" s="24" t="s">
        <v>21</v>
      </c>
      <c r="B10" s="24" t="s">
        <v>220</v>
      </c>
      <c r="C10" s="27">
        <v>4.28</v>
      </c>
      <c r="D10" s="27">
        <v>63.33</v>
      </c>
    </row>
    <row r="11" spans="1:4" x14ac:dyDescent="0.2">
      <c r="A11" s="24" t="s">
        <v>21</v>
      </c>
      <c r="B11" s="24" t="s">
        <v>221</v>
      </c>
      <c r="C11" s="27">
        <v>5.19</v>
      </c>
      <c r="D11" s="27">
        <v>63.11</v>
      </c>
    </row>
    <row r="12" spans="1:4" x14ac:dyDescent="0.2">
      <c r="A12" s="24" t="s">
        <v>21</v>
      </c>
      <c r="B12" s="24" t="s">
        <v>222</v>
      </c>
      <c r="C12" s="27">
        <v>5.37</v>
      </c>
      <c r="D12" s="27">
        <v>62.27</v>
      </c>
    </row>
    <row r="13" spans="1:4" x14ac:dyDescent="0.2">
      <c r="A13" s="24" t="s">
        <v>21</v>
      </c>
      <c r="B13" s="24" t="s">
        <v>223</v>
      </c>
      <c r="C13" s="27">
        <v>5.25</v>
      </c>
      <c r="D13" s="27">
        <v>62.67</v>
      </c>
    </row>
    <row r="14" spans="1:4" x14ac:dyDescent="0.2">
      <c r="A14" s="23" t="s">
        <v>22</v>
      </c>
      <c r="B14" s="23" t="s">
        <v>212</v>
      </c>
      <c r="C14" s="28">
        <v>4.87</v>
      </c>
      <c r="D14" s="28">
        <v>62.62</v>
      </c>
    </row>
    <row r="15" spans="1:4" x14ac:dyDescent="0.2">
      <c r="A15" s="23" t="s">
        <v>22</v>
      </c>
      <c r="B15" s="23" t="s">
        <v>213</v>
      </c>
      <c r="C15" s="28">
        <v>4.92</v>
      </c>
      <c r="D15" s="28">
        <v>63.75</v>
      </c>
    </row>
    <row r="16" spans="1:4" x14ac:dyDescent="0.2">
      <c r="A16" s="23" t="s">
        <v>22</v>
      </c>
      <c r="B16" s="23" t="s">
        <v>214</v>
      </c>
      <c r="C16" s="28">
        <v>5.37</v>
      </c>
      <c r="D16" s="28">
        <v>63.89</v>
      </c>
    </row>
    <row r="17" spans="1:4" x14ac:dyDescent="0.2">
      <c r="A17" s="23" t="s">
        <v>22</v>
      </c>
      <c r="B17" s="23" t="s">
        <v>215</v>
      </c>
      <c r="C17" s="28">
        <v>3.66</v>
      </c>
      <c r="D17" s="28">
        <v>63.87</v>
      </c>
    </row>
    <row r="18" spans="1:4" x14ac:dyDescent="0.2">
      <c r="A18" s="23" t="s">
        <v>22</v>
      </c>
      <c r="B18" s="23" t="s">
        <v>216</v>
      </c>
      <c r="C18" s="28">
        <v>3.63</v>
      </c>
      <c r="D18" s="28">
        <v>65.180000000000007</v>
      </c>
    </row>
    <row r="19" spans="1:4" x14ac:dyDescent="0.2">
      <c r="A19" s="23" t="s">
        <v>22</v>
      </c>
      <c r="B19" s="23" t="s">
        <v>217</v>
      </c>
      <c r="C19" s="28">
        <v>4.2699999999999996</v>
      </c>
      <c r="D19" s="28">
        <v>65.62</v>
      </c>
    </row>
    <row r="20" spans="1:4" x14ac:dyDescent="0.2">
      <c r="A20" s="23" t="s">
        <v>22</v>
      </c>
      <c r="B20" s="23" t="s">
        <v>218</v>
      </c>
      <c r="C20" s="28">
        <v>4.9000000000000004</v>
      </c>
      <c r="D20" s="28">
        <v>65.13</v>
      </c>
    </row>
    <row r="21" spans="1:4" x14ac:dyDescent="0.2">
      <c r="A21" s="23" t="s">
        <v>22</v>
      </c>
      <c r="B21" s="23" t="s">
        <v>219</v>
      </c>
      <c r="C21" s="28">
        <v>5.37</v>
      </c>
      <c r="D21" s="28">
        <v>66.23</v>
      </c>
    </row>
    <row r="22" spans="1:4" x14ac:dyDescent="0.2">
      <c r="A22" s="23" t="s">
        <v>22</v>
      </c>
      <c r="B22" s="23" t="s">
        <v>220</v>
      </c>
      <c r="C22" s="28">
        <v>5.56</v>
      </c>
      <c r="D22" s="28">
        <v>66.41</v>
      </c>
    </row>
    <row r="23" spans="1:4" x14ac:dyDescent="0.2">
      <c r="A23" s="23" t="s">
        <v>22</v>
      </c>
      <c r="B23" s="23" t="s">
        <v>221</v>
      </c>
      <c r="C23" s="28">
        <v>5.72</v>
      </c>
      <c r="D23" s="28">
        <v>67.88</v>
      </c>
    </row>
    <row r="24" spans="1:4" x14ac:dyDescent="0.2">
      <c r="A24" s="23" t="s">
        <v>22</v>
      </c>
      <c r="B24" s="23" t="s">
        <v>222</v>
      </c>
      <c r="C24" s="28">
        <v>5.4</v>
      </c>
      <c r="D24" s="28">
        <v>68.260000000000005</v>
      </c>
    </row>
    <row r="25" spans="1:4" x14ac:dyDescent="0.2">
      <c r="A25" s="23" t="s">
        <v>22</v>
      </c>
      <c r="B25" s="23" t="s">
        <v>223</v>
      </c>
      <c r="C25" s="28">
        <v>4.9000000000000004</v>
      </c>
      <c r="D25" s="28">
        <v>67.17</v>
      </c>
    </row>
    <row r="26" spans="1:4" x14ac:dyDescent="0.2">
      <c r="A26" s="25" t="s">
        <v>23</v>
      </c>
      <c r="B26" s="25" t="s">
        <v>212</v>
      </c>
      <c r="C26" s="29">
        <v>5.35</v>
      </c>
      <c r="D26" s="29">
        <v>66.61</v>
      </c>
    </row>
    <row r="27" spans="1:4" x14ac:dyDescent="0.2">
      <c r="A27" s="25" t="s">
        <v>23</v>
      </c>
      <c r="B27" s="25" t="s">
        <v>213</v>
      </c>
      <c r="C27" s="29">
        <v>5.78</v>
      </c>
      <c r="D27" s="29">
        <v>66.75</v>
      </c>
    </row>
    <row r="28" spans="1:4" x14ac:dyDescent="0.2">
      <c r="A28" s="25" t="s">
        <v>23</v>
      </c>
      <c r="B28" s="25" t="s">
        <v>214</v>
      </c>
      <c r="C28" s="29">
        <v>5.71</v>
      </c>
      <c r="D28" s="29">
        <v>67.41</v>
      </c>
    </row>
    <row r="29" spans="1:4" x14ac:dyDescent="0.2">
      <c r="A29" s="25" t="s">
        <v>23</v>
      </c>
      <c r="B29" s="25" t="s">
        <v>215</v>
      </c>
      <c r="C29" s="29">
        <v>6.14</v>
      </c>
      <c r="D29" s="29">
        <v>67.069999999999993</v>
      </c>
    </row>
    <row r="30" spans="1:4" x14ac:dyDescent="0.2">
      <c r="A30" s="25" t="s">
        <v>23</v>
      </c>
      <c r="B30" s="25" t="s">
        <v>216</v>
      </c>
      <c r="C30" s="29">
        <v>5.18</v>
      </c>
      <c r="D30" s="29">
        <v>66.98</v>
      </c>
    </row>
    <row r="31" spans="1:4" x14ac:dyDescent="0.2">
      <c r="A31" s="25" t="s">
        <v>23</v>
      </c>
      <c r="B31" s="25" t="s">
        <v>217</v>
      </c>
      <c r="C31" s="29">
        <v>4.3899999999999997</v>
      </c>
      <c r="D31" s="29">
        <v>66.88</v>
      </c>
    </row>
    <row r="32" spans="1:4" x14ac:dyDescent="0.2">
      <c r="A32" s="25" t="s">
        <v>23</v>
      </c>
      <c r="B32" s="25" t="s">
        <v>218</v>
      </c>
      <c r="C32" s="29">
        <v>4.22</v>
      </c>
      <c r="D32" s="29">
        <v>66.75</v>
      </c>
    </row>
    <row r="33" spans="1:4" x14ac:dyDescent="0.2">
      <c r="A33" s="25" t="s">
        <v>23</v>
      </c>
      <c r="B33" s="25" t="s">
        <v>219</v>
      </c>
      <c r="C33" s="29">
        <v>3.6</v>
      </c>
      <c r="D33" s="29">
        <v>67.72</v>
      </c>
    </row>
    <row r="34" spans="1:4" x14ac:dyDescent="0.2">
      <c r="A34" s="25" t="s">
        <v>23</v>
      </c>
      <c r="B34" s="25" t="s">
        <v>220</v>
      </c>
      <c r="C34" s="29">
        <v>3.46</v>
      </c>
      <c r="D34" s="29">
        <v>67.92</v>
      </c>
    </row>
    <row r="35" spans="1:4" x14ac:dyDescent="0.2">
      <c r="A35" s="25" t="s">
        <v>23</v>
      </c>
      <c r="B35" s="25" t="s">
        <v>221</v>
      </c>
      <c r="C35" s="29">
        <v>3.16</v>
      </c>
      <c r="D35" s="29">
        <v>68.11</v>
      </c>
    </row>
    <row r="36" spans="1:4" x14ac:dyDescent="0.2">
      <c r="A36" s="25" t="s">
        <v>23</v>
      </c>
      <c r="B36" s="25" t="s">
        <v>222</v>
      </c>
      <c r="C36" s="29">
        <v>3.61</v>
      </c>
      <c r="D36" s="29">
        <v>66.97</v>
      </c>
    </row>
    <row r="37" spans="1:4" x14ac:dyDescent="0.2">
      <c r="A37" s="25" t="s">
        <v>23</v>
      </c>
      <c r="B37" s="25" t="s">
        <v>223</v>
      </c>
      <c r="C37" s="29">
        <v>3.77</v>
      </c>
      <c r="D37" s="29">
        <v>65.55</v>
      </c>
    </row>
    <row r="38" spans="1:4" x14ac:dyDescent="0.2">
      <c r="A38" s="30" t="s">
        <v>24</v>
      </c>
      <c r="B38" s="30" t="s">
        <v>212</v>
      </c>
      <c r="C38" s="31">
        <v>3.13</v>
      </c>
      <c r="D38" s="31">
        <v>64.489999999999995</v>
      </c>
    </row>
    <row r="39" spans="1:4" x14ac:dyDescent="0.2">
      <c r="A39" s="30" t="s">
        <v>24</v>
      </c>
      <c r="B39" s="30" t="s">
        <v>213</v>
      </c>
      <c r="C39" s="31">
        <v>2.2200000000000002</v>
      </c>
      <c r="D39" s="31">
        <v>64.37</v>
      </c>
    </row>
    <row r="40" spans="1:4" x14ac:dyDescent="0.2">
      <c r="A40" s="30" t="s">
        <v>24</v>
      </c>
      <c r="B40" s="30" t="s">
        <v>214</v>
      </c>
      <c r="C40" s="31">
        <v>1.46</v>
      </c>
      <c r="D40" s="31">
        <v>64.44</v>
      </c>
    </row>
    <row r="41" spans="1:4" x14ac:dyDescent="0.2">
      <c r="A41" s="30" t="s">
        <v>24</v>
      </c>
      <c r="B41" s="30" t="s">
        <v>215</v>
      </c>
      <c r="C41" s="31">
        <v>2.3199999999999998</v>
      </c>
      <c r="D41" s="31">
        <v>64.47</v>
      </c>
    </row>
    <row r="42" spans="1:4" x14ac:dyDescent="0.2">
      <c r="A42" s="30" t="s">
        <v>24</v>
      </c>
      <c r="B42" s="30" t="s">
        <v>216</v>
      </c>
      <c r="C42" s="31">
        <v>3.18</v>
      </c>
      <c r="D42" s="31">
        <v>64.19</v>
      </c>
    </row>
    <row r="43" spans="1:4" x14ac:dyDescent="0.2">
      <c r="A43" s="30" t="s">
        <v>24</v>
      </c>
      <c r="B43" s="30" t="s">
        <v>217</v>
      </c>
      <c r="C43" s="31">
        <v>3.34</v>
      </c>
      <c r="D43" s="31">
        <v>65.23</v>
      </c>
    </row>
    <row r="44" spans="1:4" x14ac:dyDescent="0.2">
      <c r="A44" s="30" t="s">
        <v>24</v>
      </c>
      <c r="B44" s="30" t="s">
        <v>218</v>
      </c>
      <c r="C44" s="31">
        <v>3.61</v>
      </c>
      <c r="D44" s="31">
        <v>65.05</v>
      </c>
    </row>
    <row r="45" spans="1:4" x14ac:dyDescent="0.2">
      <c r="A45" s="30" t="s">
        <v>24</v>
      </c>
      <c r="B45" s="30" t="s">
        <v>219</v>
      </c>
      <c r="C45" s="31">
        <v>4.92</v>
      </c>
      <c r="D45" s="31">
        <v>64.95</v>
      </c>
    </row>
    <row r="46" spans="1:4" x14ac:dyDescent="0.2">
      <c r="A46" s="30" t="s">
        <v>24</v>
      </c>
      <c r="B46" s="30" t="s">
        <v>220</v>
      </c>
      <c r="C46" s="31">
        <v>5.24</v>
      </c>
      <c r="D46" s="31">
        <v>64</v>
      </c>
    </row>
    <row r="47" spans="1:4" x14ac:dyDescent="0.2">
      <c r="A47" s="30" t="s">
        <v>24</v>
      </c>
      <c r="B47" s="30" t="s">
        <v>221</v>
      </c>
      <c r="C47" s="31">
        <v>5.0999999999999996</v>
      </c>
      <c r="D47" s="31">
        <v>63.75</v>
      </c>
    </row>
    <row r="48" spans="1:4" x14ac:dyDescent="0.2">
      <c r="A48" s="30" t="s">
        <v>24</v>
      </c>
      <c r="B48" s="30" t="s">
        <v>222</v>
      </c>
      <c r="C48" s="31">
        <v>4.3600000000000003</v>
      </c>
      <c r="D48" s="31">
        <v>64.03</v>
      </c>
    </row>
    <row r="49" spans="1:4" x14ac:dyDescent="0.2">
      <c r="A49" s="30" t="s">
        <v>24</v>
      </c>
      <c r="B49" s="30" t="s">
        <v>223</v>
      </c>
      <c r="C49" s="31">
        <v>4.3499999999999996</v>
      </c>
      <c r="D49" s="31">
        <v>65.19</v>
      </c>
    </row>
    <row r="50" spans="1:4" x14ac:dyDescent="0.2">
      <c r="A50" s="32" t="s">
        <v>25</v>
      </c>
      <c r="B50" s="32" t="s">
        <v>212</v>
      </c>
      <c r="C50" s="33">
        <v>4.49</v>
      </c>
      <c r="D50" s="33">
        <v>66.5</v>
      </c>
    </row>
    <row r="51" spans="1:4" x14ac:dyDescent="0.2">
      <c r="A51" s="32" t="s">
        <v>25</v>
      </c>
      <c r="B51" s="32" t="s">
        <v>213</v>
      </c>
      <c r="C51" s="33">
        <v>4.91</v>
      </c>
      <c r="D51" s="33">
        <v>67.59</v>
      </c>
    </row>
    <row r="52" spans="1:4" x14ac:dyDescent="0.2">
      <c r="A52" s="32" t="s">
        <v>25</v>
      </c>
      <c r="B52" s="32" t="s">
        <v>214</v>
      </c>
      <c r="C52" s="33">
        <v>4.8899999999999997</v>
      </c>
      <c r="D52" s="33">
        <v>68.02</v>
      </c>
    </row>
    <row r="53" spans="1:4" x14ac:dyDescent="0.2">
      <c r="A53" s="32" t="s">
        <v>25</v>
      </c>
      <c r="B53" s="32" t="s">
        <v>215</v>
      </c>
      <c r="C53" s="33">
        <v>4.0999999999999996</v>
      </c>
      <c r="D53" s="33">
        <v>68.569999999999993</v>
      </c>
    </row>
    <row r="54" spans="1:4" x14ac:dyDescent="0.2">
      <c r="A54" s="32" t="s">
        <v>25</v>
      </c>
      <c r="B54" s="32" t="s">
        <v>216</v>
      </c>
      <c r="C54" s="33">
        <v>3.65</v>
      </c>
      <c r="D54" s="33">
        <v>69.95</v>
      </c>
    </row>
    <row r="55" spans="1:4" x14ac:dyDescent="0.2">
      <c r="A55" s="32" t="s">
        <v>25</v>
      </c>
      <c r="B55" s="32" t="s">
        <v>217</v>
      </c>
      <c r="C55" s="33">
        <v>3.65</v>
      </c>
      <c r="D55" s="33">
        <v>72.180000000000007</v>
      </c>
    </row>
    <row r="56" spans="1:4" x14ac:dyDescent="0.2">
      <c r="A56" s="32" t="s">
        <v>25</v>
      </c>
      <c r="B56" s="32" t="s">
        <v>218</v>
      </c>
      <c r="C56" s="33">
        <v>3.35</v>
      </c>
      <c r="D56" s="33">
        <v>73.64</v>
      </c>
    </row>
    <row r="57" spans="1:4" x14ac:dyDescent="0.2">
      <c r="A57" s="32" t="s">
        <v>25</v>
      </c>
      <c r="B57" s="32" t="s">
        <v>219</v>
      </c>
      <c r="C57" s="33">
        <v>2.34</v>
      </c>
      <c r="D57" s="33">
        <v>71.98</v>
      </c>
    </row>
    <row r="58" spans="1:4" x14ac:dyDescent="0.2">
      <c r="A58" s="32" t="s">
        <v>25</v>
      </c>
      <c r="B58" s="32" t="s">
        <v>220</v>
      </c>
      <c r="C58" s="33">
        <v>2.0699999999999998</v>
      </c>
      <c r="D58" s="33">
        <v>71.099999999999994</v>
      </c>
    </row>
    <row r="59" spans="1:4" x14ac:dyDescent="0.2">
      <c r="A59" s="32" t="s">
        <v>25</v>
      </c>
      <c r="B59" s="32" t="s">
        <v>221</v>
      </c>
      <c r="C59" s="33">
        <v>1.94</v>
      </c>
      <c r="D59" s="33">
        <v>70.94</v>
      </c>
    </row>
    <row r="60" spans="1:4" x14ac:dyDescent="0.2">
      <c r="A60" s="32" t="s">
        <v>25</v>
      </c>
      <c r="B60" s="32" t="s">
        <v>222</v>
      </c>
      <c r="C60" s="33">
        <v>2.65</v>
      </c>
      <c r="D60" s="33">
        <v>71.02</v>
      </c>
    </row>
    <row r="61" spans="1:4" x14ac:dyDescent="0.2">
      <c r="A61" s="32" t="s">
        <v>25</v>
      </c>
      <c r="B61" s="32" t="s">
        <v>223</v>
      </c>
      <c r="C61" s="33">
        <v>2.78</v>
      </c>
      <c r="D61" s="33">
        <v>69.63</v>
      </c>
    </row>
    <row r="62" spans="1:4" x14ac:dyDescent="0.2">
      <c r="A62" s="24" t="s">
        <v>26</v>
      </c>
      <c r="B62" s="24" t="s">
        <v>212</v>
      </c>
      <c r="C62" s="27">
        <v>3.05</v>
      </c>
      <c r="D62" s="27">
        <v>69.459999999999994</v>
      </c>
    </row>
    <row r="63" spans="1:4" x14ac:dyDescent="0.2">
      <c r="A63" s="24" t="s">
        <v>26</v>
      </c>
      <c r="B63" s="24" t="s">
        <v>213</v>
      </c>
      <c r="C63" s="27">
        <v>3.03</v>
      </c>
      <c r="D63" s="27">
        <v>69.64</v>
      </c>
    </row>
    <row r="64" spans="1:4" x14ac:dyDescent="0.2">
      <c r="A64" s="24" t="s">
        <v>26</v>
      </c>
      <c r="B64" s="24" t="s">
        <v>214</v>
      </c>
      <c r="C64" s="27">
        <v>3.29</v>
      </c>
      <c r="D64" s="27">
        <v>69.59</v>
      </c>
    </row>
    <row r="65" spans="1:4" x14ac:dyDescent="0.2">
      <c r="A65" s="24" t="s">
        <v>26</v>
      </c>
      <c r="B65" s="24" t="s">
        <v>215</v>
      </c>
      <c r="C65" s="27">
        <v>3.26</v>
      </c>
      <c r="D65" s="27">
        <v>68.86</v>
      </c>
    </row>
    <row r="66" spans="1:4" x14ac:dyDescent="0.2">
      <c r="A66" s="24" t="s">
        <v>26</v>
      </c>
      <c r="B66" s="24" t="s">
        <v>216</v>
      </c>
      <c r="C66" s="27">
        <v>3.38</v>
      </c>
      <c r="D66" s="27">
        <v>71.22</v>
      </c>
    </row>
    <row r="67" spans="1:4" x14ac:dyDescent="0.2">
      <c r="A67" s="24" t="s">
        <v>26</v>
      </c>
      <c r="B67" s="24" t="s">
        <v>217</v>
      </c>
      <c r="C67" s="27">
        <v>4.07</v>
      </c>
      <c r="D67" s="27">
        <v>71.09</v>
      </c>
    </row>
    <row r="68" spans="1:4" x14ac:dyDescent="0.2">
      <c r="A68" s="24" t="s">
        <v>26</v>
      </c>
      <c r="B68" s="24" t="s">
        <v>218</v>
      </c>
      <c r="C68" s="27">
        <v>4.59</v>
      </c>
      <c r="D68" s="27">
        <v>71.23</v>
      </c>
    </row>
    <row r="69" spans="1:4" x14ac:dyDescent="0.2">
      <c r="A69" s="24" t="s">
        <v>26</v>
      </c>
      <c r="B69" s="24" t="s">
        <v>219</v>
      </c>
      <c r="C69" s="27">
        <v>5.53</v>
      </c>
      <c r="D69" s="27">
        <v>71.78</v>
      </c>
    </row>
    <row r="70" spans="1:4" x14ac:dyDescent="0.2">
      <c r="A70" s="24" t="s">
        <v>26</v>
      </c>
      <c r="B70" s="24" t="s">
        <v>220</v>
      </c>
      <c r="C70" s="27">
        <v>7.32</v>
      </c>
      <c r="D70" s="27">
        <v>71.28</v>
      </c>
    </row>
    <row r="71" spans="1:4" x14ac:dyDescent="0.2">
      <c r="A71" s="24" t="s">
        <v>26</v>
      </c>
      <c r="B71" s="24" t="s">
        <v>221</v>
      </c>
      <c r="C71" s="27">
        <v>7.62</v>
      </c>
      <c r="D71" s="27">
        <v>71.37</v>
      </c>
    </row>
    <row r="72" spans="1:4" x14ac:dyDescent="0.2">
      <c r="A72" s="24" t="s">
        <v>26</v>
      </c>
      <c r="B72" s="24" t="s">
        <v>222</v>
      </c>
      <c r="C72" s="27">
        <v>6.51</v>
      </c>
      <c r="D72" s="27">
        <v>71.44</v>
      </c>
    </row>
    <row r="73" spans="1:4" x14ac:dyDescent="0.2">
      <c r="A73" s="24" t="s">
        <v>26</v>
      </c>
      <c r="B73" s="24" t="s">
        <v>223</v>
      </c>
      <c r="C73" s="27">
        <v>5.95</v>
      </c>
      <c r="D73" s="27">
        <v>74.05</v>
      </c>
    </row>
    <row r="74" spans="1:4" x14ac:dyDescent="0.2">
      <c r="A74" s="23" t="s">
        <v>27</v>
      </c>
      <c r="B74" s="23" t="s">
        <v>212</v>
      </c>
      <c r="C74" s="28">
        <v>7.12</v>
      </c>
      <c r="D74" s="28">
        <v>76.069999999999993</v>
      </c>
    </row>
    <row r="75" spans="1:4" x14ac:dyDescent="0.2">
      <c r="A75" s="23" t="s">
        <v>27</v>
      </c>
      <c r="B75" s="23" t="s">
        <v>213</v>
      </c>
      <c r="C75" s="28">
        <v>6.28</v>
      </c>
      <c r="D75" s="28">
        <v>75.709999999999994</v>
      </c>
    </row>
    <row r="76" spans="1:4" x14ac:dyDescent="0.2">
      <c r="A76" s="23" t="s">
        <v>27</v>
      </c>
      <c r="B76" s="23" t="s">
        <v>214</v>
      </c>
      <c r="C76" s="28">
        <v>6.24</v>
      </c>
      <c r="D76" s="28">
        <v>75.650000000000006</v>
      </c>
    </row>
    <row r="77" spans="1:4" x14ac:dyDescent="0.2">
      <c r="A77" s="23" t="s">
        <v>27</v>
      </c>
      <c r="B77" s="23" t="s">
        <v>215</v>
      </c>
      <c r="C77" s="28">
        <v>6.71</v>
      </c>
      <c r="D77" s="28">
        <v>74.94</v>
      </c>
    </row>
    <row r="78" spans="1:4" x14ac:dyDescent="0.2">
      <c r="A78" s="23" t="s">
        <v>27</v>
      </c>
      <c r="B78" s="23" t="s">
        <v>216</v>
      </c>
      <c r="C78" s="28">
        <v>6.68</v>
      </c>
      <c r="D78" s="28">
        <v>74.88</v>
      </c>
    </row>
    <row r="79" spans="1:4" x14ac:dyDescent="0.2">
      <c r="A79" s="23" t="s">
        <v>27</v>
      </c>
      <c r="B79" s="23" t="s">
        <v>217</v>
      </c>
      <c r="C79" s="28">
        <v>7.29</v>
      </c>
      <c r="D79" s="28">
        <v>73.58</v>
      </c>
    </row>
    <row r="80" spans="1:4" x14ac:dyDescent="0.2">
      <c r="A80" s="23" t="s">
        <v>27</v>
      </c>
      <c r="B80" s="23" t="s">
        <v>218</v>
      </c>
      <c r="C80" s="28">
        <v>7.61</v>
      </c>
      <c r="D80" s="28">
        <v>73.53</v>
      </c>
    </row>
    <row r="81" spans="1:4" x14ac:dyDescent="0.2">
      <c r="A81" s="23" t="s">
        <v>27</v>
      </c>
      <c r="B81" s="23" t="s">
        <v>219</v>
      </c>
      <c r="C81" s="28">
        <v>6.9</v>
      </c>
      <c r="D81" s="28">
        <v>74.150000000000006</v>
      </c>
    </row>
    <row r="82" spans="1:4" x14ac:dyDescent="0.2">
      <c r="A82" s="23" t="s">
        <v>27</v>
      </c>
      <c r="B82" s="23" t="s">
        <v>220</v>
      </c>
      <c r="C82" s="28">
        <v>4.55</v>
      </c>
      <c r="D82" s="28">
        <v>73.59</v>
      </c>
    </row>
    <row r="83" spans="1:4" x14ac:dyDescent="0.2">
      <c r="A83" s="23" t="s">
        <v>27</v>
      </c>
      <c r="B83" s="23" t="s">
        <v>221</v>
      </c>
      <c r="C83" s="28">
        <v>4.05</v>
      </c>
      <c r="D83" s="28">
        <v>73.06</v>
      </c>
    </row>
    <row r="84" spans="1:4" x14ac:dyDescent="0.2">
      <c r="A84" s="23" t="s">
        <v>27</v>
      </c>
      <c r="B84" s="23" t="s">
        <v>222</v>
      </c>
      <c r="C84" s="28">
        <v>5.0999999999999996</v>
      </c>
      <c r="D84" s="28">
        <v>72.739999999999995</v>
      </c>
    </row>
    <row r="85" spans="1:4" x14ac:dyDescent="0.2">
      <c r="A85" s="23" t="s">
        <v>27</v>
      </c>
      <c r="B85" s="23" t="s">
        <v>223</v>
      </c>
      <c r="C85" s="28">
        <v>5.49</v>
      </c>
      <c r="D85" s="28">
        <v>72.47</v>
      </c>
    </row>
    <row r="86" spans="1:4" x14ac:dyDescent="0.2">
      <c r="A86" s="25" t="s">
        <v>28</v>
      </c>
      <c r="B86" s="25" t="s">
        <v>212</v>
      </c>
      <c r="C86" s="29">
        <v>4.2699999999999996</v>
      </c>
      <c r="D86" s="29">
        <v>74.599999999999994</v>
      </c>
    </row>
    <row r="87" spans="1:4" x14ac:dyDescent="0.2">
      <c r="A87" s="25" t="s">
        <v>28</v>
      </c>
      <c r="B87" s="25" t="s">
        <v>213</v>
      </c>
      <c r="C87" s="29">
        <v>6.29</v>
      </c>
      <c r="D87" s="29">
        <v>73.430000000000007</v>
      </c>
    </row>
    <row r="88" spans="1:4" x14ac:dyDescent="0.2">
      <c r="A88" s="25" t="s">
        <v>28</v>
      </c>
      <c r="B88" s="25" t="s">
        <v>214</v>
      </c>
      <c r="C88" s="29">
        <v>6.25</v>
      </c>
      <c r="D88" s="29">
        <v>74.28</v>
      </c>
    </row>
    <row r="89" spans="1:4" x14ac:dyDescent="0.2">
      <c r="A89" s="25" t="s">
        <v>28</v>
      </c>
      <c r="B89" s="25" t="s">
        <v>215</v>
      </c>
      <c r="C89" s="29">
        <v>5.55</v>
      </c>
      <c r="D89" s="29">
        <v>74.489999999999995</v>
      </c>
    </row>
    <row r="90" spans="1:4" x14ac:dyDescent="0.2">
      <c r="A90" s="25" t="s">
        <v>28</v>
      </c>
      <c r="B90" s="25" t="s">
        <v>216</v>
      </c>
      <c r="C90" s="29">
        <v>5.28</v>
      </c>
      <c r="D90" s="29">
        <v>74.37</v>
      </c>
    </row>
    <row r="91" spans="1:4" x14ac:dyDescent="0.2">
      <c r="A91" s="25" t="s">
        <v>28</v>
      </c>
      <c r="B91" s="25" t="s">
        <v>217</v>
      </c>
      <c r="C91" s="29">
        <v>4.37</v>
      </c>
      <c r="D91" s="29">
        <v>73.72</v>
      </c>
    </row>
    <row r="92" spans="1:4" x14ac:dyDescent="0.2">
      <c r="A92" s="25" t="s">
        <v>28</v>
      </c>
      <c r="B92" s="25" t="s">
        <v>218</v>
      </c>
      <c r="C92" s="29">
        <v>4.5599999999999996</v>
      </c>
      <c r="D92" s="29">
        <v>75.23</v>
      </c>
    </row>
    <row r="93" spans="1:4" x14ac:dyDescent="0.2">
      <c r="A93" s="25" t="s">
        <v>28</v>
      </c>
      <c r="B93" s="25" t="s">
        <v>219</v>
      </c>
      <c r="C93" s="29">
        <v>4.9000000000000004</v>
      </c>
      <c r="D93" s="29">
        <v>74.7</v>
      </c>
    </row>
    <row r="94" spans="1:4" x14ac:dyDescent="0.2">
      <c r="A94" s="25" t="s">
        <v>28</v>
      </c>
      <c r="B94" s="25" t="s">
        <v>220</v>
      </c>
      <c r="C94" s="29">
        <v>5.68</v>
      </c>
      <c r="D94" s="29">
        <v>75.430000000000007</v>
      </c>
    </row>
    <row r="95" spans="1:4" x14ac:dyDescent="0.2">
      <c r="A95" s="25" t="s">
        <v>28</v>
      </c>
      <c r="B95" s="25" t="s">
        <v>221</v>
      </c>
      <c r="C95" s="29">
        <v>6.08</v>
      </c>
      <c r="D95" s="29">
        <v>74.64</v>
      </c>
    </row>
    <row r="96" spans="1:4" x14ac:dyDescent="0.2">
      <c r="A96" s="25" t="s">
        <v>28</v>
      </c>
      <c r="B96" s="25" t="s">
        <v>222</v>
      </c>
      <c r="C96" s="29">
        <v>6.06</v>
      </c>
      <c r="D96" s="29">
        <v>75.41</v>
      </c>
    </row>
    <row r="97" spans="1:4" x14ac:dyDescent="0.2">
      <c r="A97" s="25" t="s">
        <v>28</v>
      </c>
      <c r="B97" s="25" t="s">
        <v>223</v>
      </c>
      <c r="C97" s="29">
        <v>6.9</v>
      </c>
      <c r="D97" s="29">
        <v>76.12</v>
      </c>
    </row>
    <row r="98" spans="1:4" x14ac:dyDescent="0.2">
      <c r="A98" s="30" t="s">
        <v>29</v>
      </c>
      <c r="B98" s="30" t="s">
        <v>212</v>
      </c>
      <c r="C98" s="31">
        <v>7.82</v>
      </c>
      <c r="D98" s="31">
        <v>76.16</v>
      </c>
    </row>
    <row r="99" spans="1:4" x14ac:dyDescent="0.2">
      <c r="A99" s="30" t="s">
        <v>29</v>
      </c>
      <c r="B99" s="30" t="s">
        <v>213</v>
      </c>
      <c r="C99" s="31">
        <v>6.98</v>
      </c>
      <c r="D99" s="31">
        <v>77.41</v>
      </c>
    </row>
    <row r="100" spans="1:4" x14ac:dyDescent="0.2">
      <c r="A100" s="30" t="s">
        <v>29</v>
      </c>
      <c r="B100" s="30" t="s">
        <v>214</v>
      </c>
      <c r="C100" s="31">
        <v>6.94</v>
      </c>
      <c r="D100" s="31">
        <v>78.58</v>
      </c>
    </row>
    <row r="101" spans="1:4" x14ac:dyDescent="0.2">
      <c r="A101" s="30" t="s">
        <v>29</v>
      </c>
      <c r="B101" s="30" t="s">
        <v>215</v>
      </c>
      <c r="C101" s="31">
        <v>6.66</v>
      </c>
      <c r="D101" s="31">
        <v>79.69</v>
      </c>
    </row>
    <row r="102" spans="1:4" x14ac:dyDescent="0.2">
      <c r="A102" s="30" t="s">
        <v>29</v>
      </c>
      <c r="B102" s="30" t="s">
        <v>216</v>
      </c>
      <c r="C102" s="31">
        <v>6.99</v>
      </c>
      <c r="D102" s="31">
        <v>79.83</v>
      </c>
    </row>
    <row r="103" spans="1:4" x14ac:dyDescent="0.2">
      <c r="A103" s="30" t="s">
        <v>29</v>
      </c>
      <c r="B103" s="30" t="s">
        <v>217</v>
      </c>
      <c r="C103" s="31">
        <v>7.33</v>
      </c>
      <c r="D103" s="31">
        <v>80.42</v>
      </c>
    </row>
    <row r="104" spans="1:4" x14ac:dyDescent="0.2">
      <c r="A104" s="30" t="s">
        <v>29</v>
      </c>
      <c r="B104" s="30" t="s">
        <v>218</v>
      </c>
      <c r="C104" s="31">
        <v>6.77</v>
      </c>
      <c r="D104" s="31">
        <v>82.33</v>
      </c>
    </row>
    <row r="105" spans="1:4" x14ac:dyDescent="0.2">
      <c r="A105" s="30" t="s">
        <v>29</v>
      </c>
      <c r="B105" s="30" t="s">
        <v>219</v>
      </c>
      <c r="C105" s="31">
        <v>5.92</v>
      </c>
      <c r="D105" s="31">
        <v>81.8</v>
      </c>
    </row>
    <row r="106" spans="1:4" x14ac:dyDescent="0.2">
      <c r="A106" s="30" t="s">
        <v>29</v>
      </c>
      <c r="B106" s="30" t="s">
        <v>220</v>
      </c>
      <c r="C106" s="31">
        <v>5.71</v>
      </c>
      <c r="D106" s="31">
        <v>82.6</v>
      </c>
    </row>
    <row r="107" spans="1:4" x14ac:dyDescent="0.2">
      <c r="A107" s="30" t="s">
        <v>29</v>
      </c>
      <c r="B107" s="30" t="s">
        <v>221</v>
      </c>
      <c r="C107" s="31">
        <v>6.53</v>
      </c>
      <c r="D107" s="31">
        <v>81.739999999999995</v>
      </c>
    </row>
    <row r="108" spans="1:4" x14ac:dyDescent="0.2">
      <c r="A108" s="30" t="s">
        <v>29</v>
      </c>
      <c r="B108" s="30" t="s">
        <v>222</v>
      </c>
      <c r="C108" s="31">
        <v>6.4</v>
      </c>
      <c r="D108" s="31">
        <v>82.59</v>
      </c>
    </row>
    <row r="109" spans="1:4" x14ac:dyDescent="0.2">
      <c r="A109" s="30" t="s">
        <v>29</v>
      </c>
      <c r="B109" s="30" t="s">
        <v>223</v>
      </c>
      <c r="C109" s="31">
        <v>5.66</v>
      </c>
      <c r="D109" s="31">
        <v>82.45</v>
      </c>
    </row>
    <row r="110" spans="1:4" x14ac:dyDescent="0.2">
      <c r="A110" s="32" t="s">
        <v>30</v>
      </c>
      <c r="B110" s="32" t="s">
        <v>212</v>
      </c>
      <c r="C110" s="33">
        <v>4.6900000000000004</v>
      </c>
      <c r="D110" s="33">
        <v>81.97</v>
      </c>
    </row>
    <row r="111" spans="1:4" x14ac:dyDescent="0.2">
      <c r="A111" s="32" t="s">
        <v>30</v>
      </c>
      <c r="B111" s="32" t="s">
        <v>213</v>
      </c>
      <c r="C111" s="33">
        <v>4.3099999999999996</v>
      </c>
      <c r="D111" s="33">
        <v>82.28</v>
      </c>
    </row>
    <row r="112" spans="1:4" x14ac:dyDescent="0.2">
      <c r="A112" s="32" t="s">
        <v>30</v>
      </c>
      <c r="B112" s="32" t="s">
        <v>214</v>
      </c>
      <c r="C112" s="33">
        <v>4.84</v>
      </c>
      <c r="D112" s="33">
        <v>82.11</v>
      </c>
    </row>
    <row r="113" spans="1:4" x14ac:dyDescent="0.2">
      <c r="A113" s="32" t="s">
        <v>30</v>
      </c>
      <c r="B113" s="32" t="s">
        <v>215</v>
      </c>
      <c r="C113" s="33">
        <v>7.45</v>
      </c>
      <c r="D113" s="33">
        <v>82.22</v>
      </c>
    </row>
    <row r="114" spans="1:4" x14ac:dyDescent="0.2">
      <c r="A114" s="32" t="s">
        <v>30</v>
      </c>
      <c r="B114" s="32" t="s">
        <v>216</v>
      </c>
      <c r="C114" s="33">
        <v>6.86</v>
      </c>
      <c r="D114" s="33">
        <v>82.74</v>
      </c>
    </row>
    <row r="115" spans="1:4" x14ac:dyDescent="0.2">
      <c r="A115" s="32" t="s">
        <v>30</v>
      </c>
      <c r="B115" s="32" t="s">
        <v>217</v>
      </c>
      <c r="C115" s="33">
        <v>5.09</v>
      </c>
      <c r="D115" s="33">
        <v>83.11</v>
      </c>
    </row>
    <row r="116" spans="1:4" x14ac:dyDescent="0.2">
      <c r="A116" s="32" t="s">
        <v>30</v>
      </c>
      <c r="B116" s="32" t="s">
        <v>218</v>
      </c>
      <c r="C116" s="33">
        <v>4.83</v>
      </c>
      <c r="D116" s="33">
        <v>83.25</v>
      </c>
    </row>
    <row r="117" spans="1:4" x14ac:dyDescent="0.2">
      <c r="A117" s="32" t="s">
        <v>30</v>
      </c>
      <c r="B117" s="32" t="s">
        <v>219</v>
      </c>
      <c r="C117" s="33">
        <v>5.48</v>
      </c>
      <c r="D117" s="33">
        <v>83.34</v>
      </c>
    </row>
    <row r="118" spans="1:4" x14ac:dyDescent="0.2">
      <c r="A118" s="32" t="s">
        <v>30</v>
      </c>
      <c r="B118" s="32" t="s">
        <v>220</v>
      </c>
      <c r="C118" s="33">
        <v>5.73</v>
      </c>
      <c r="D118" s="33">
        <v>83.27</v>
      </c>
    </row>
    <row r="119" spans="1:4" x14ac:dyDescent="0.2">
      <c r="A119" s="32" t="s">
        <v>30</v>
      </c>
      <c r="B119" s="32" t="s">
        <v>221</v>
      </c>
      <c r="C119" s="33">
        <v>5.05</v>
      </c>
      <c r="D119" s="33">
        <v>83.12</v>
      </c>
    </row>
    <row r="120" spans="1:4" x14ac:dyDescent="0.2">
      <c r="A120" s="32" t="s">
        <v>30</v>
      </c>
      <c r="B120" s="32" t="s">
        <v>222</v>
      </c>
      <c r="C120" s="33">
        <v>5.16</v>
      </c>
      <c r="D120" s="33">
        <v>83.01</v>
      </c>
    </row>
    <row r="121" spans="1:4" x14ac:dyDescent="0.2">
      <c r="A121" s="32" t="s">
        <v>30</v>
      </c>
      <c r="B121" s="32" t="s">
        <v>223</v>
      </c>
      <c r="C121" s="33">
        <v>4.93</v>
      </c>
      <c r="D121" s="33">
        <v>83.06</v>
      </c>
    </row>
    <row r="122" spans="1:4" x14ac:dyDescent="0.2">
      <c r="A122" s="24" t="s">
        <v>37</v>
      </c>
      <c r="B122" s="24" t="s">
        <v>212</v>
      </c>
      <c r="C122" s="27">
        <v>4.8</v>
      </c>
      <c r="D122" s="27">
        <v>83.51</v>
      </c>
    </row>
    <row r="123" spans="1:4" x14ac:dyDescent="0.2">
      <c r="A123" s="24" t="s">
        <v>37</v>
      </c>
      <c r="B123" s="24" t="s">
        <v>213</v>
      </c>
      <c r="C123" s="27">
        <v>4.88</v>
      </c>
      <c r="D123" s="27">
        <v>83.58</v>
      </c>
    </row>
    <row r="124" spans="1:4" x14ac:dyDescent="0.2">
      <c r="A124" s="24" t="s">
        <v>37</v>
      </c>
      <c r="B124" s="24" t="s">
        <v>214</v>
      </c>
      <c r="C124" s="27">
        <v>5.14</v>
      </c>
      <c r="D124" s="27">
        <v>83.57</v>
      </c>
    </row>
    <row r="125" spans="1:4" x14ac:dyDescent="0.2">
      <c r="A125" s="24" t="s">
        <v>37</v>
      </c>
      <c r="B125" s="24" t="s">
        <v>215</v>
      </c>
      <c r="C125" s="27">
        <v>3.67</v>
      </c>
      <c r="D125" s="27">
        <v>83.73</v>
      </c>
    </row>
    <row r="126" spans="1:4" x14ac:dyDescent="0.2">
      <c r="A126" s="24" t="s">
        <v>37</v>
      </c>
      <c r="B126" s="24" t="s">
        <v>216</v>
      </c>
      <c r="C126" s="27">
        <v>3.67</v>
      </c>
      <c r="D126" s="27">
        <v>83.97</v>
      </c>
    </row>
    <row r="127" spans="1:4" x14ac:dyDescent="0.2">
      <c r="A127" s="24" t="s">
        <v>37</v>
      </c>
      <c r="B127" s="24" t="s">
        <v>217</v>
      </c>
      <c r="C127" s="27">
        <v>5.46</v>
      </c>
      <c r="D127" s="27">
        <v>83.93</v>
      </c>
    </row>
    <row r="128" spans="1:4" x14ac:dyDescent="0.2">
      <c r="A128" s="24" t="s">
        <v>37</v>
      </c>
      <c r="B128" s="24" t="s">
        <v>218</v>
      </c>
      <c r="C128" s="27">
        <v>6.25</v>
      </c>
      <c r="D128" s="27">
        <v>84.07</v>
      </c>
    </row>
    <row r="129" spans="1:5" x14ac:dyDescent="0.2">
      <c r="A129" s="24" t="s">
        <v>37</v>
      </c>
      <c r="B129" s="24" t="s">
        <v>219</v>
      </c>
      <c r="C129" s="27">
        <v>5.5</v>
      </c>
      <c r="D129" s="27">
        <v>84.42</v>
      </c>
    </row>
    <row r="130" spans="1:5" x14ac:dyDescent="0.2">
      <c r="A130" s="24" t="s">
        <v>37</v>
      </c>
      <c r="B130" s="24" t="s">
        <v>220</v>
      </c>
      <c r="C130" s="27">
        <v>5.21</v>
      </c>
      <c r="D130" s="27">
        <v>84.8</v>
      </c>
    </row>
    <row r="131" spans="1:5" x14ac:dyDescent="0.2">
      <c r="A131" s="24" t="s">
        <v>37</v>
      </c>
      <c r="B131" s="24" t="s">
        <v>221</v>
      </c>
      <c r="C131" s="27">
        <v>4.0599999999999996</v>
      </c>
      <c r="D131" s="27">
        <v>86.26</v>
      </c>
    </row>
    <row r="132" spans="1:5" x14ac:dyDescent="0.2">
      <c r="A132" s="24" t="s">
        <v>37</v>
      </c>
      <c r="B132" s="24" t="s">
        <v>222</v>
      </c>
      <c r="C132" s="27">
        <v>3.49</v>
      </c>
      <c r="D132" s="27">
        <v>86.98</v>
      </c>
    </row>
    <row r="133" spans="1:5" x14ac:dyDescent="0.2">
      <c r="A133" s="24" t="s">
        <v>37</v>
      </c>
      <c r="B133" s="24" t="s">
        <v>223</v>
      </c>
      <c r="C133" s="27">
        <v>3.56</v>
      </c>
      <c r="D133" s="27">
        <v>86.72</v>
      </c>
    </row>
    <row r="134" spans="1:5" x14ac:dyDescent="0.2">
      <c r="A134" s="23" t="s">
        <v>31</v>
      </c>
      <c r="B134" s="23" t="s">
        <v>212</v>
      </c>
      <c r="C134" s="28">
        <v>3.34</v>
      </c>
      <c r="D134" s="28">
        <v>84.6</v>
      </c>
      <c r="E134" s="45"/>
    </row>
    <row r="135" spans="1:5" x14ac:dyDescent="0.2">
      <c r="A135" s="23" t="s">
        <v>31</v>
      </c>
      <c r="B135" s="23" t="s">
        <v>213</v>
      </c>
      <c r="C135" s="28">
        <v>3.03</v>
      </c>
      <c r="D135" s="28">
        <v>84.56</v>
      </c>
    </row>
    <row r="136" spans="1:5" x14ac:dyDescent="0.2">
      <c r="A136" s="23" t="s">
        <v>31</v>
      </c>
      <c r="B136" s="23" t="s">
        <v>214</v>
      </c>
      <c r="C136" s="28">
        <v>2.31</v>
      </c>
      <c r="D136" s="28">
        <v>84.61</v>
      </c>
    </row>
    <row r="137" spans="1:5" x14ac:dyDescent="0.2">
      <c r="A137" s="23" t="s">
        <v>31</v>
      </c>
      <c r="B137" s="23" t="s">
        <v>215</v>
      </c>
      <c r="C137" s="28">
        <v>1.62</v>
      </c>
      <c r="D137" s="28">
        <v>84.71</v>
      </c>
    </row>
    <row r="138" spans="1:5" x14ac:dyDescent="0.2">
      <c r="A138" s="23" t="s">
        <v>31</v>
      </c>
      <c r="B138" s="23" t="s">
        <v>216</v>
      </c>
      <c r="C138" s="28">
        <v>2.0099999999999998</v>
      </c>
      <c r="D138" s="28">
        <v>84.13</v>
      </c>
    </row>
    <row r="139" spans="1:5" x14ac:dyDescent="0.2">
      <c r="A139" s="23" t="s">
        <v>31</v>
      </c>
      <c r="B139" s="23" t="s">
        <v>217</v>
      </c>
      <c r="C139" s="28">
        <v>1.41</v>
      </c>
      <c r="D139" s="28">
        <v>83.89</v>
      </c>
    </row>
    <row r="140" spans="1:5" x14ac:dyDescent="0.2">
      <c r="A140" s="23" t="s">
        <v>31</v>
      </c>
      <c r="B140" s="23" t="s">
        <v>218</v>
      </c>
      <c r="C140" s="28">
        <v>0.04</v>
      </c>
      <c r="D140" s="28">
        <v>84.08</v>
      </c>
    </row>
    <row r="141" spans="1:5" x14ac:dyDescent="0.2">
      <c r="A141" s="23" t="s">
        <v>31</v>
      </c>
      <c r="B141" s="23" t="s">
        <v>219</v>
      </c>
      <c r="C141" s="28">
        <v>0.49</v>
      </c>
      <c r="D141" s="28">
        <v>84.4</v>
      </c>
    </row>
    <row r="142" spans="1:5" x14ac:dyDescent="0.2">
      <c r="A142" s="23" t="s">
        <v>31</v>
      </c>
      <c r="B142" s="23" t="s">
        <v>220</v>
      </c>
      <c r="C142" s="28">
        <v>1.17</v>
      </c>
      <c r="D142" s="28">
        <v>85.1</v>
      </c>
    </row>
    <row r="143" spans="1:5" x14ac:dyDescent="0.2">
      <c r="A143" s="23" t="s">
        <v>31</v>
      </c>
      <c r="B143" s="23" t="s">
        <v>221</v>
      </c>
      <c r="C143" s="28">
        <v>2.74</v>
      </c>
      <c r="D143" s="28">
        <v>90.79</v>
      </c>
    </row>
    <row r="144" spans="1:5" x14ac:dyDescent="0.2">
      <c r="A144" s="23" t="s">
        <v>31</v>
      </c>
      <c r="B144" s="23" t="s">
        <v>222</v>
      </c>
      <c r="C144" s="23"/>
      <c r="D144" s="23"/>
    </row>
    <row r="145" spans="1:4" x14ac:dyDescent="0.2">
      <c r="A145" s="23" t="s">
        <v>31</v>
      </c>
      <c r="B145" s="23" t="s">
        <v>223</v>
      </c>
      <c r="C145" s="23"/>
      <c r="D145" s="2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BE19-A4BA-EA4C-B976-DFFC27CAE922}">
  <dimension ref="A1:D49"/>
  <sheetViews>
    <sheetView tabSelected="1" workbookViewId="0">
      <selection activeCell="C13" sqref="C13"/>
    </sheetView>
  </sheetViews>
  <sheetFormatPr baseColWidth="10" defaultRowHeight="16" x14ac:dyDescent="0.2"/>
  <cols>
    <col min="1" max="1" width="31.5" customWidth="1"/>
    <col min="3" max="3" width="22.33203125" customWidth="1"/>
    <col min="4" max="4" width="23" customWidth="1"/>
  </cols>
  <sheetData>
    <row r="1" spans="1:4" ht="30" x14ac:dyDescent="0.2">
      <c r="A1" s="114" t="s">
        <v>17</v>
      </c>
      <c r="B1" s="115" t="s">
        <v>66</v>
      </c>
      <c r="C1" s="115" t="s">
        <v>315</v>
      </c>
      <c r="D1" s="116" t="s">
        <v>316</v>
      </c>
    </row>
    <row r="2" spans="1:4" x14ac:dyDescent="0.2">
      <c r="A2" s="92" t="s">
        <v>21</v>
      </c>
      <c r="B2" s="50" t="s">
        <v>67</v>
      </c>
      <c r="C2" s="51">
        <v>8.18</v>
      </c>
      <c r="D2" s="100">
        <v>61</v>
      </c>
    </row>
    <row r="3" spans="1:4" x14ac:dyDescent="0.2">
      <c r="A3" s="92" t="s">
        <v>21</v>
      </c>
      <c r="B3" s="50" t="s">
        <v>68</v>
      </c>
      <c r="C3" s="51">
        <v>6.71</v>
      </c>
      <c r="D3" s="100">
        <v>62</v>
      </c>
    </row>
    <row r="4" spans="1:4" x14ac:dyDescent="0.2">
      <c r="A4" s="92" t="s">
        <v>21</v>
      </c>
      <c r="B4" s="50" t="s">
        <v>69</v>
      </c>
      <c r="C4" s="51">
        <v>5.2</v>
      </c>
      <c r="D4" s="100">
        <v>62.5</v>
      </c>
    </row>
    <row r="5" spans="1:4" ht="17" thickBot="1" x14ac:dyDescent="0.25">
      <c r="A5" s="92" t="s">
        <v>21</v>
      </c>
      <c r="B5" s="50" t="s">
        <v>70</v>
      </c>
      <c r="C5" s="51">
        <v>7.46</v>
      </c>
      <c r="D5" s="100">
        <v>62.6</v>
      </c>
    </row>
    <row r="6" spans="1:4" ht="17" thickBot="1" x14ac:dyDescent="0.25">
      <c r="A6" s="93" t="s">
        <v>22</v>
      </c>
      <c r="B6" s="52" t="s">
        <v>67</v>
      </c>
      <c r="C6" s="53">
        <v>5.28</v>
      </c>
      <c r="D6" s="101">
        <v>63.8</v>
      </c>
    </row>
    <row r="7" spans="1:4" ht="17" thickBot="1" x14ac:dyDescent="0.25">
      <c r="A7" s="93" t="s">
        <v>22</v>
      </c>
      <c r="B7" s="54" t="s">
        <v>68</v>
      </c>
      <c r="C7" s="55">
        <v>4.88</v>
      </c>
      <c r="D7" s="102">
        <v>65</v>
      </c>
    </row>
    <row r="8" spans="1:4" ht="17" thickBot="1" x14ac:dyDescent="0.25">
      <c r="A8" s="93" t="s">
        <v>22</v>
      </c>
      <c r="B8" s="54" t="s">
        <v>69</v>
      </c>
      <c r="C8" s="55">
        <v>5.15</v>
      </c>
      <c r="D8" s="102">
        <v>65.8</v>
      </c>
    </row>
    <row r="9" spans="1:4" ht="17" thickBot="1" x14ac:dyDescent="0.25">
      <c r="A9" s="93" t="s">
        <v>22</v>
      </c>
      <c r="B9" s="54" t="s">
        <v>70</v>
      </c>
      <c r="C9" s="55">
        <v>5.35</v>
      </c>
      <c r="D9" s="102">
        <v>66.3</v>
      </c>
    </row>
    <row r="10" spans="1:4" ht="17" thickBot="1" x14ac:dyDescent="0.25">
      <c r="A10" s="94" t="s">
        <v>23</v>
      </c>
      <c r="B10" s="56" t="s">
        <v>67</v>
      </c>
      <c r="C10" s="57">
        <v>5.68</v>
      </c>
      <c r="D10" s="103">
        <v>66</v>
      </c>
    </row>
    <row r="11" spans="1:4" ht="17" thickBot="1" x14ac:dyDescent="0.25">
      <c r="A11" s="94" t="s">
        <v>23</v>
      </c>
      <c r="B11" s="58" t="s">
        <v>68</v>
      </c>
      <c r="C11" s="59">
        <v>5.05</v>
      </c>
      <c r="D11" s="104">
        <v>66.5</v>
      </c>
    </row>
    <row r="12" spans="1:4" ht="17" thickBot="1" x14ac:dyDescent="0.25">
      <c r="A12" s="94" t="s">
        <v>23</v>
      </c>
      <c r="B12" s="58" t="s">
        <v>69</v>
      </c>
      <c r="C12" s="59">
        <v>4.5</v>
      </c>
      <c r="D12" s="104">
        <v>67</v>
      </c>
    </row>
    <row r="13" spans="1:4" ht="17" thickBot="1" x14ac:dyDescent="0.25">
      <c r="A13" s="94" t="s">
        <v>23</v>
      </c>
      <c r="B13" s="58" t="s">
        <v>70</v>
      </c>
      <c r="C13" s="59" t="s">
        <v>317</v>
      </c>
      <c r="D13" s="104">
        <v>64.8</v>
      </c>
    </row>
    <row r="14" spans="1:4" ht="17" thickBot="1" x14ac:dyDescent="0.25">
      <c r="A14" s="95" t="s">
        <v>24</v>
      </c>
      <c r="B14" s="60" t="s">
        <v>67</v>
      </c>
      <c r="C14" s="61">
        <v>4.51</v>
      </c>
      <c r="D14" s="105">
        <v>65.2</v>
      </c>
    </row>
    <row r="15" spans="1:4" ht="17" thickBot="1" x14ac:dyDescent="0.25">
      <c r="A15" s="95" t="s">
        <v>24</v>
      </c>
      <c r="B15" s="62" t="s">
        <v>68</v>
      </c>
      <c r="C15" s="63">
        <v>3.24</v>
      </c>
      <c r="D15" s="106">
        <v>66</v>
      </c>
    </row>
    <row r="16" spans="1:4" ht="17" thickBot="1" x14ac:dyDescent="0.25">
      <c r="A16" s="95" t="s">
        <v>24</v>
      </c>
      <c r="B16" s="62" t="s">
        <v>69</v>
      </c>
      <c r="C16" s="63">
        <v>3.58</v>
      </c>
      <c r="D16" s="106">
        <v>67</v>
      </c>
    </row>
    <row r="17" spans="1:4" ht="17" thickBot="1" x14ac:dyDescent="0.25">
      <c r="A17" s="95" t="s">
        <v>24</v>
      </c>
      <c r="B17" s="62" t="s">
        <v>70</v>
      </c>
      <c r="C17" s="63">
        <v>4.51</v>
      </c>
      <c r="D17" s="106">
        <v>65</v>
      </c>
    </row>
    <row r="18" spans="1:4" ht="17" thickBot="1" x14ac:dyDescent="0.25">
      <c r="A18" s="96" t="s">
        <v>25</v>
      </c>
      <c r="B18" s="64" t="s">
        <v>67</v>
      </c>
      <c r="C18" s="65">
        <v>4.8600000000000003</v>
      </c>
      <c r="D18" s="107">
        <v>64.8</v>
      </c>
    </row>
    <row r="19" spans="1:4" ht="17" thickBot="1" x14ac:dyDescent="0.25">
      <c r="A19" s="96" t="s">
        <v>25</v>
      </c>
      <c r="B19" s="66" t="s">
        <v>68</v>
      </c>
      <c r="C19" s="67">
        <v>3.94</v>
      </c>
      <c r="D19" s="108">
        <v>68.400000000000006</v>
      </c>
    </row>
    <row r="20" spans="1:4" ht="17" thickBot="1" x14ac:dyDescent="0.25">
      <c r="A20" s="96" t="s">
        <v>25</v>
      </c>
      <c r="B20" s="66" t="s">
        <v>69</v>
      </c>
      <c r="C20" s="67">
        <v>3.42</v>
      </c>
      <c r="D20" s="108">
        <v>70</v>
      </c>
    </row>
    <row r="21" spans="1:4" ht="17" thickBot="1" x14ac:dyDescent="0.25">
      <c r="A21" s="96" t="s">
        <v>25</v>
      </c>
      <c r="B21" s="66" t="s">
        <v>70</v>
      </c>
      <c r="C21" s="67">
        <v>3.7</v>
      </c>
      <c r="D21" s="108">
        <v>69.099999999999994</v>
      </c>
    </row>
    <row r="22" spans="1:4" ht="17" thickBot="1" x14ac:dyDescent="0.25">
      <c r="A22" s="97" t="s">
        <v>26</v>
      </c>
      <c r="B22" s="68" t="s">
        <v>67</v>
      </c>
      <c r="C22" s="69">
        <v>3.05</v>
      </c>
      <c r="D22" s="109">
        <v>69.5</v>
      </c>
    </row>
    <row r="23" spans="1:4" ht="17" thickBot="1" x14ac:dyDescent="0.25">
      <c r="A23" s="97" t="s">
        <v>26</v>
      </c>
      <c r="B23" s="50" t="s">
        <v>68</v>
      </c>
      <c r="C23" s="51">
        <v>3.11</v>
      </c>
      <c r="D23" s="100">
        <v>70.5</v>
      </c>
    </row>
    <row r="24" spans="1:4" ht="17" thickBot="1" x14ac:dyDescent="0.25">
      <c r="A24" s="97" t="s">
        <v>26</v>
      </c>
      <c r="B24" s="50" t="s">
        <v>69</v>
      </c>
      <c r="C24" s="51">
        <v>4.62</v>
      </c>
      <c r="D24" s="100">
        <v>72.5</v>
      </c>
    </row>
    <row r="25" spans="1:4" ht="17" thickBot="1" x14ac:dyDescent="0.25">
      <c r="A25" s="97" t="s">
        <v>26</v>
      </c>
      <c r="B25" s="50" t="s">
        <v>70</v>
      </c>
      <c r="C25" s="51">
        <v>6.58</v>
      </c>
      <c r="D25" s="100">
        <v>73</v>
      </c>
    </row>
    <row r="26" spans="1:4" ht="17" thickBot="1" x14ac:dyDescent="0.25">
      <c r="A26" s="93" t="s">
        <v>27</v>
      </c>
      <c r="B26" s="52" t="s">
        <v>67</v>
      </c>
      <c r="C26" s="53">
        <v>5.84</v>
      </c>
      <c r="D26" s="101">
        <v>75.5</v>
      </c>
    </row>
    <row r="27" spans="1:4" ht="17" thickBot="1" x14ac:dyDescent="0.25">
      <c r="A27" s="93" t="s">
        <v>27</v>
      </c>
      <c r="B27" s="54" t="s">
        <v>68</v>
      </c>
      <c r="C27" s="55">
        <v>6.27</v>
      </c>
      <c r="D27" s="102">
        <v>74.8</v>
      </c>
    </row>
    <row r="28" spans="1:4" ht="17" thickBot="1" x14ac:dyDescent="0.25">
      <c r="A28" s="93" t="s">
        <v>27</v>
      </c>
      <c r="B28" s="54" t="s">
        <v>69</v>
      </c>
      <c r="C28" s="55">
        <v>7.34</v>
      </c>
      <c r="D28" s="102">
        <v>74</v>
      </c>
    </row>
    <row r="29" spans="1:4" ht="17" thickBot="1" x14ac:dyDescent="0.25">
      <c r="A29" s="93" t="s">
        <v>27</v>
      </c>
      <c r="B29" s="54" t="s">
        <v>70</v>
      </c>
      <c r="C29" s="55">
        <v>6.62</v>
      </c>
      <c r="D29" s="102">
        <v>74.099999999999994</v>
      </c>
    </row>
    <row r="30" spans="1:4" ht="17" thickBot="1" x14ac:dyDescent="0.25">
      <c r="A30" s="94" t="s">
        <v>28</v>
      </c>
      <c r="B30" s="56" t="s">
        <v>67</v>
      </c>
      <c r="C30" s="57">
        <v>5.22</v>
      </c>
      <c r="D30" s="103">
        <v>73.2</v>
      </c>
    </row>
    <row r="31" spans="1:4" ht="17" thickBot="1" x14ac:dyDescent="0.25">
      <c r="A31" s="94" t="s">
        <v>28</v>
      </c>
      <c r="B31" s="58" t="s">
        <v>68</v>
      </c>
      <c r="C31" s="59">
        <v>5.27</v>
      </c>
      <c r="D31" s="104">
        <v>74.3</v>
      </c>
    </row>
    <row r="32" spans="1:4" ht="17" thickBot="1" x14ac:dyDescent="0.25">
      <c r="A32" s="94" t="s">
        <v>28</v>
      </c>
      <c r="B32" s="58" t="s">
        <v>69</v>
      </c>
      <c r="C32" s="59">
        <v>4.4800000000000004</v>
      </c>
      <c r="D32" s="104">
        <v>75.5</v>
      </c>
    </row>
    <row r="33" spans="1:4" ht="17" thickBot="1" x14ac:dyDescent="0.25">
      <c r="A33" s="94" t="s">
        <v>28</v>
      </c>
      <c r="B33" s="58" t="s">
        <v>70</v>
      </c>
      <c r="C33" s="59">
        <v>5.13</v>
      </c>
      <c r="D33" s="104">
        <v>82.7</v>
      </c>
    </row>
    <row r="34" spans="1:4" ht="17" thickBot="1" x14ac:dyDescent="0.25">
      <c r="A34" s="95" t="s">
        <v>29</v>
      </c>
      <c r="B34" s="60" t="s">
        <v>67</v>
      </c>
      <c r="C34" s="61">
        <v>6.3</v>
      </c>
      <c r="D34" s="105">
        <v>75.2</v>
      </c>
    </row>
    <row r="35" spans="1:4" ht="17" thickBot="1" x14ac:dyDescent="0.25">
      <c r="A35" s="95" t="s">
        <v>29</v>
      </c>
      <c r="B35" s="62" t="s">
        <v>68</v>
      </c>
      <c r="C35" s="63">
        <v>6.77</v>
      </c>
      <c r="D35" s="106">
        <v>78.599999999999994</v>
      </c>
    </row>
    <row r="36" spans="1:4" ht="17" thickBot="1" x14ac:dyDescent="0.25">
      <c r="A36" s="95" t="s">
        <v>29</v>
      </c>
      <c r="B36" s="62" t="s">
        <v>69</v>
      </c>
      <c r="C36" s="63">
        <v>6.7</v>
      </c>
      <c r="D36" s="106">
        <v>81.7</v>
      </c>
    </row>
    <row r="37" spans="1:4" ht="17" thickBot="1" x14ac:dyDescent="0.25">
      <c r="A37" s="95" t="s">
        <v>29</v>
      </c>
      <c r="B37" s="62" t="s">
        <v>70</v>
      </c>
      <c r="C37" s="63">
        <v>6.07</v>
      </c>
      <c r="D37" s="106">
        <v>82.7</v>
      </c>
    </row>
    <row r="38" spans="1:4" ht="17" thickBot="1" x14ac:dyDescent="0.25">
      <c r="A38" s="96" t="s">
        <v>30</v>
      </c>
      <c r="B38" s="64" t="s">
        <v>67</v>
      </c>
      <c r="C38" s="65">
        <v>5.66</v>
      </c>
      <c r="D38" s="107">
        <v>82.2</v>
      </c>
    </row>
    <row r="39" spans="1:4" ht="17" thickBot="1" x14ac:dyDescent="0.25">
      <c r="A39" s="96" t="s">
        <v>30</v>
      </c>
      <c r="B39" s="66" t="s">
        <v>68</v>
      </c>
      <c r="C39" s="67">
        <v>5.66</v>
      </c>
      <c r="D39" s="108">
        <v>82.7</v>
      </c>
    </row>
    <row r="40" spans="1:4" ht="17" thickBot="1" x14ac:dyDescent="0.25">
      <c r="A40" s="96" t="s">
        <v>30</v>
      </c>
      <c r="B40" s="66" t="s">
        <v>69</v>
      </c>
      <c r="C40" s="67">
        <v>5.55</v>
      </c>
      <c r="D40" s="108">
        <v>83.2</v>
      </c>
    </row>
    <row r="41" spans="1:4" ht="17" thickBot="1" x14ac:dyDescent="0.25">
      <c r="A41" s="96" t="s">
        <v>30</v>
      </c>
      <c r="B41" s="66" t="s">
        <v>70</v>
      </c>
      <c r="C41" s="67">
        <v>5.97</v>
      </c>
      <c r="D41" s="108">
        <v>83.2</v>
      </c>
    </row>
    <row r="42" spans="1:4" ht="17" thickBot="1" x14ac:dyDescent="0.25">
      <c r="A42" s="98" t="s">
        <v>330</v>
      </c>
      <c r="B42" s="70" t="s">
        <v>67</v>
      </c>
      <c r="C42" s="71">
        <v>4.75</v>
      </c>
      <c r="D42" s="110">
        <v>83.4</v>
      </c>
    </row>
    <row r="43" spans="1:4" ht="17" thickBot="1" x14ac:dyDescent="0.25">
      <c r="A43" s="98" t="s">
        <v>330</v>
      </c>
      <c r="B43" s="72" t="s">
        <v>68</v>
      </c>
      <c r="C43" s="73">
        <v>4.18</v>
      </c>
      <c r="D43" s="111">
        <v>83.6</v>
      </c>
    </row>
    <row r="44" spans="1:4" ht="17" thickBot="1" x14ac:dyDescent="0.25">
      <c r="A44" s="98" t="s">
        <v>330</v>
      </c>
      <c r="B44" s="72" t="s">
        <v>69</v>
      </c>
      <c r="C44" s="73">
        <v>5.49</v>
      </c>
      <c r="D44" s="111">
        <v>84.1</v>
      </c>
    </row>
    <row r="45" spans="1:4" ht="17" thickBot="1" x14ac:dyDescent="0.25">
      <c r="A45" s="98" t="s">
        <v>330</v>
      </c>
      <c r="B45" s="72" t="s">
        <v>70</v>
      </c>
      <c r="C45" s="73">
        <v>4.9400000000000004</v>
      </c>
      <c r="D45" s="111">
        <v>84.2</v>
      </c>
    </row>
    <row r="46" spans="1:4" ht="17" thickBot="1" x14ac:dyDescent="0.25">
      <c r="A46" s="99" t="s">
        <v>331</v>
      </c>
      <c r="B46" s="74" t="s">
        <v>67</v>
      </c>
      <c r="C46" s="75">
        <v>3.85</v>
      </c>
      <c r="D46" s="112">
        <v>85</v>
      </c>
    </row>
    <row r="47" spans="1:4" ht="17" thickBot="1" x14ac:dyDescent="0.25">
      <c r="A47" s="99" t="s">
        <v>331</v>
      </c>
      <c r="B47" s="76" t="s">
        <v>68</v>
      </c>
      <c r="C47" s="77">
        <v>2.82</v>
      </c>
      <c r="D47" s="113">
        <v>86.8</v>
      </c>
    </row>
    <row r="48" spans="1:4" ht="17" thickBot="1" x14ac:dyDescent="0.25">
      <c r="A48" s="99" t="s">
        <v>331</v>
      </c>
      <c r="B48" s="76" t="s">
        <v>69</v>
      </c>
      <c r="C48" s="77">
        <v>1.1200000000000001</v>
      </c>
      <c r="D48" s="113">
        <v>88.9</v>
      </c>
    </row>
    <row r="49" spans="1:4" x14ac:dyDescent="0.2">
      <c r="A49" s="117" t="s">
        <v>331</v>
      </c>
      <c r="B49" s="118" t="s">
        <v>70</v>
      </c>
      <c r="C49" s="119">
        <v>2.85</v>
      </c>
      <c r="D49" s="120">
        <v>90.5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13AE7-39CD-4049-85FD-B6AF1799C1B2}">
  <dimension ref="A1:C97"/>
  <sheetViews>
    <sheetView workbookViewId="0">
      <selection activeCell="L20" sqref="L20"/>
    </sheetView>
  </sheetViews>
  <sheetFormatPr baseColWidth="10" defaultRowHeight="16" x14ac:dyDescent="0.2"/>
  <cols>
    <col min="1" max="1" width="15" customWidth="1"/>
    <col min="2" max="2" width="17" bestFit="1" customWidth="1"/>
    <col min="3" max="3" width="21.33203125" customWidth="1"/>
  </cols>
  <sheetData>
    <row r="1" spans="1:3" x14ac:dyDescent="0.2">
      <c r="A1" s="86" t="s">
        <v>340</v>
      </c>
      <c r="B1" s="87" t="s">
        <v>44</v>
      </c>
      <c r="C1" s="88" t="s">
        <v>341</v>
      </c>
    </row>
    <row r="2" spans="1:3" x14ac:dyDescent="0.2">
      <c r="A2" s="82" t="s">
        <v>318</v>
      </c>
      <c r="B2" s="80" t="s">
        <v>7</v>
      </c>
      <c r="C2" s="84">
        <v>0.14000000000000001</v>
      </c>
    </row>
    <row r="3" spans="1:3" x14ac:dyDescent="0.2">
      <c r="A3" s="82" t="s">
        <v>318</v>
      </c>
      <c r="B3" s="80" t="s">
        <v>8</v>
      </c>
      <c r="C3" s="84">
        <v>0.21</v>
      </c>
    </row>
    <row r="4" spans="1:3" x14ac:dyDescent="0.2">
      <c r="A4" s="82" t="s">
        <v>318</v>
      </c>
      <c r="B4" s="80" t="s">
        <v>332</v>
      </c>
      <c r="C4" s="84">
        <v>0.1</v>
      </c>
    </row>
    <row r="5" spans="1:3" x14ac:dyDescent="0.2">
      <c r="A5" s="82" t="s">
        <v>318</v>
      </c>
      <c r="B5" s="80" t="s">
        <v>344</v>
      </c>
      <c r="C5" s="84">
        <v>7.0000000000000007E-2</v>
      </c>
    </row>
    <row r="6" spans="1:3" x14ac:dyDescent="0.2">
      <c r="A6" s="82" t="s">
        <v>318</v>
      </c>
      <c r="B6" s="80" t="s">
        <v>333</v>
      </c>
      <c r="C6" s="84">
        <v>0.05</v>
      </c>
    </row>
    <row r="7" spans="1:3" x14ac:dyDescent="0.2">
      <c r="A7" s="82" t="s">
        <v>318</v>
      </c>
      <c r="B7" s="80" t="s">
        <v>345</v>
      </c>
      <c r="C7" s="84">
        <v>0.25</v>
      </c>
    </row>
    <row r="8" spans="1:3" x14ac:dyDescent="0.2">
      <c r="A8" s="82" t="s">
        <v>318</v>
      </c>
      <c r="B8" s="80" t="s">
        <v>334</v>
      </c>
      <c r="C8" s="84">
        <v>0.09</v>
      </c>
    </row>
    <row r="9" spans="1:3" x14ac:dyDescent="0.2">
      <c r="A9" s="82" t="s">
        <v>318</v>
      </c>
      <c r="B9" s="80" t="s">
        <v>335</v>
      </c>
      <c r="C9" s="84">
        <v>0.09</v>
      </c>
    </row>
    <row r="10" spans="1:3" x14ac:dyDescent="0.2">
      <c r="A10" s="83" t="s">
        <v>319</v>
      </c>
      <c r="B10" s="81" t="s">
        <v>7</v>
      </c>
      <c r="C10" s="85">
        <v>0.14000000000000001</v>
      </c>
    </row>
    <row r="11" spans="1:3" x14ac:dyDescent="0.2">
      <c r="A11" s="83" t="s">
        <v>319</v>
      </c>
      <c r="B11" s="81" t="s">
        <v>8</v>
      </c>
      <c r="C11" s="85">
        <v>0.2</v>
      </c>
    </row>
    <row r="12" spans="1:3" x14ac:dyDescent="0.2">
      <c r="A12" s="83" t="s">
        <v>319</v>
      </c>
      <c r="B12" s="81" t="s">
        <v>332</v>
      </c>
      <c r="C12" s="85">
        <v>0.11</v>
      </c>
    </row>
    <row r="13" spans="1:3" x14ac:dyDescent="0.2">
      <c r="A13" s="83" t="s">
        <v>319</v>
      </c>
      <c r="B13" s="81" t="s">
        <v>344</v>
      </c>
      <c r="C13" s="85">
        <v>7.0000000000000007E-2</v>
      </c>
    </row>
    <row r="14" spans="1:3" x14ac:dyDescent="0.2">
      <c r="A14" s="83" t="s">
        <v>319</v>
      </c>
      <c r="B14" s="81" t="s">
        <v>333</v>
      </c>
      <c r="C14" s="85">
        <v>0.05</v>
      </c>
    </row>
    <row r="15" spans="1:3" x14ac:dyDescent="0.2">
      <c r="A15" s="83" t="s">
        <v>319</v>
      </c>
      <c r="B15" s="81" t="s">
        <v>345</v>
      </c>
      <c r="C15" s="85">
        <v>0.24</v>
      </c>
    </row>
    <row r="16" spans="1:3" x14ac:dyDescent="0.2">
      <c r="A16" s="83" t="s">
        <v>319</v>
      </c>
      <c r="B16" s="81" t="s">
        <v>334</v>
      </c>
      <c r="C16" s="85">
        <v>0.09</v>
      </c>
    </row>
    <row r="17" spans="1:3" x14ac:dyDescent="0.2">
      <c r="A17" s="83" t="s">
        <v>319</v>
      </c>
      <c r="B17" s="81" t="s">
        <v>335</v>
      </c>
      <c r="C17" s="85">
        <v>0.1</v>
      </c>
    </row>
    <row r="18" spans="1:3" x14ac:dyDescent="0.2">
      <c r="A18" s="82" t="s">
        <v>320</v>
      </c>
      <c r="B18" s="80" t="s">
        <v>7</v>
      </c>
      <c r="C18" s="84">
        <v>0.15</v>
      </c>
    </row>
    <row r="19" spans="1:3" x14ac:dyDescent="0.2">
      <c r="A19" s="82" t="s">
        <v>320</v>
      </c>
      <c r="B19" s="80" t="s">
        <v>8</v>
      </c>
      <c r="C19" s="84">
        <v>0.19</v>
      </c>
    </row>
    <row r="20" spans="1:3" x14ac:dyDescent="0.2">
      <c r="A20" s="82" t="s">
        <v>320</v>
      </c>
      <c r="B20" s="80" t="s">
        <v>332</v>
      </c>
      <c r="C20" s="84">
        <v>0.12</v>
      </c>
    </row>
    <row r="21" spans="1:3" x14ac:dyDescent="0.2">
      <c r="A21" s="82" t="s">
        <v>320</v>
      </c>
      <c r="B21" s="80" t="s">
        <v>344</v>
      </c>
      <c r="C21" s="84">
        <v>7.0000000000000007E-2</v>
      </c>
    </row>
    <row r="22" spans="1:3" x14ac:dyDescent="0.2">
      <c r="A22" s="82" t="s">
        <v>320</v>
      </c>
      <c r="B22" s="80" t="s">
        <v>333</v>
      </c>
      <c r="C22" s="84">
        <v>0.05</v>
      </c>
    </row>
    <row r="23" spans="1:3" x14ac:dyDescent="0.2">
      <c r="A23" s="82" t="s">
        <v>320</v>
      </c>
      <c r="B23" s="80" t="s">
        <v>345</v>
      </c>
      <c r="C23" s="84">
        <v>0.21</v>
      </c>
    </row>
    <row r="24" spans="1:3" x14ac:dyDescent="0.2">
      <c r="A24" s="82" t="s">
        <v>320</v>
      </c>
      <c r="B24" s="80" t="s">
        <v>334</v>
      </c>
      <c r="C24" s="84">
        <v>0.09</v>
      </c>
    </row>
    <row r="25" spans="1:3" x14ac:dyDescent="0.2">
      <c r="A25" s="82" t="s">
        <v>320</v>
      </c>
      <c r="B25" s="80" t="s">
        <v>335</v>
      </c>
      <c r="C25" s="84">
        <v>0.12</v>
      </c>
    </row>
    <row r="26" spans="1:3" x14ac:dyDescent="0.2">
      <c r="A26" s="83" t="s">
        <v>321</v>
      </c>
      <c r="B26" s="81" t="s">
        <v>7</v>
      </c>
      <c r="C26" s="85">
        <v>0.16</v>
      </c>
    </row>
    <row r="27" spans="1:3" x14ac:dyDescent="0.2">
      <c r="A27" s="83" t="s">
        <v>321</v>
      </c>
      <c r="B27" s="81" t="s">
        <v>8</v>
      </c>
      <c r="C27" s="85">
        <v>0.18</v>
      </c>
    </row>
    <row r="28" spans="1:3" x14ac:dyDescent="0.2">
      <c r="A28" s="83" t="s">
        <v>321</v>
      </c>
      <c r="B28" s="81" t="s">
        <v>332</v>
      </c>
      <c r="C28" s="85">
        <v>0.14000000000000001</v>
      </c>
    </row>
    <row r="29" spans="1:3" x14ac:dyDescent="0.2">
      <c r="A29" s="83" t="s">
        <v>321</v>
      </c>
      <c r="B29" s="81" t="s">
        <v>344</v>
      </c>
      <c r="C29" s="85">
        <v>0.06</v>
      </c>
    </row>
    <row r="30" spans="1:3" x14ac:dyDescent="0.2">
      <c r="A30" s="83" t="s">
        <v>321</v>
      </c>
      <c r="B30" s="81" t="s">
        <v>333</v>
      </c>
      <c r="C30" s="85">
        <v>0.05</v>
      </c>
    </row>
    <row r="31" spans="1:3" x14ac:dyDescent="0.2">
      <c r="A31" s="83" t="s">
        <v>321</v>
      </c>
      <c r="B31" s="81" t="s">
        <v>345</v>
      </c>
      <c r="C31" s="85">
        <v>0.22</v>
      </c>
    </row>
    <row r="32" spans="1:3" x14ac:dyDescent="0.2">
      <c r="A32" s="83" t="s">
        <v>321</v>
      </c>
      <c r="B32" s="81" t="s">
        <v>334</v>
      </c>
      <c r="C32" s="85">
        <v>0.09</v>
      </c>
    </row>
    <row r="33" spans="1:3" x14ac:dyDescent="0.2">
      <c r="A33" s="83" t="s">
        <v>321</v>
      </c>
      <c r="B33" s="81" t="s">
        <v>335</v>
      </c>
      <c r="C33" s="85">
        <v>0.1</v>
      </c>
    </row>
    <row r="34" spans="1:3" x14ac:dyDescent="0.2">
      <c r="A34" s="82" t="s">
        <v>322</v>
      </c>
      <c r="B34" s="80" t="s">
        <v>7</v>
      </c>
      <c r="C34" s="84">
        <v>0.17</v>
      </c>
    </row>
    <row r="35" spans="1:3" x14ac:dyDescent="0.2">
      <c r="A35" s="82" t="s">
        <v>322</v>
      </c>
      <c r="B35" s="80" t="s">
        <v>8</v>
      </c>
      <c r="C35" s="84">
        <v>0.18</v>
      </c>
    </row>
    <row r="36" spans="1:3" x14ac:dyDescent="0.2">
      <c r="A36" s="82" t="s">
        <v>322</v>
      </c>
      <c r="B36" s="80" t="s">
        <v>332</v>
      </c>
      <c r="C36" s="84">
        <v>0.15</v>
      </c>
    </row>
    <row r="37" spans="1:3" x14ac:dyDescent="0.2">
      <c r="A37" s="82" t="s">
        <v>322</v>
      </c>
      <c r="B37" s="80" t="s">
        <v>344</v>
      </c>
      <c r="C37" s="84">
        <v>0.06</v>
      </c>
    </row>
    <row r="38" spans="1:3" x14ac:dyDescent="0.2">
      <c r="A38" s="82" t="s">
        <v>322</v>
      </c>
      <c r="B38" s="80" t="s">
        <v>333</v>
      </c>
      <c r="C38" s="84">
        <v>0.04</v>
      </c>
    </row>
    <row r="39" spans="1:3" x14ac:dyDescent="0.2">
      <c r="A39" s="82" t="s">
        <v>322</v>
      </c>
      <c r="B39" s="80" t="s">
        <v>345</v>
      </c>
      <c r="C39" s="84">
        <v>0.23</v>
      </c>
    </row>
    <row r="40" spans="1:3" x14ac:dyDescent="0.2">
      <c r="A40" s="82" t="s">
        <v>322</v>
      </c>
      <c r="B40" s="80" t="s">
        <v>334</v>
      </c>
      <c r="C40" s="84">
        <v>0.09</v>
      </c>
    </row>
    <row r="41" spans="1:3" x14ac:dyDescent="0.2">
      <c r="A41" s="82" t="s">
        <v>322</v>
      </c>
      <c r="B41" s="80" t="s">
        <v>335</v>
      </c>
      <c r="C41" s="84">
        <v>0.08</v>
      </c>
    </row>
    <row r="42" spans="1:3" x14ac:dyDescent="0.2">
      <c r="A42" s="83" t="s">
        <v>323</v>
      </c>
      <c r="B42" s="81" t="s">
        <v>7</v>
      </c>
      <c r="C42" s="85">
        <v>0.17</v>
      </c>
    </row>
    <row r="43" spans="1:3" x14ac:dyDescent="0.2">
      <c r="A43" s="83" t="s">
        <v>323</v>
      </c>
      <c r="B43" s="81" t="s">
        <v>8</v>
      </c>
      <c r="C43" s="85">
        <v>0.18</v>
      </c>
    </row>
    <row r="44" spans="1:3" x14ac:dyDescent="0.2">
      <c r="A44" s="83" t="s">
        <v>323</v>
      </c>
      <c r="B44" s="81" t="s">
        <v>332</v>
      </c>
      <c r="C44" s="85">
        <v>0.18</v>
      </c>
    </row>
    <row r="45" spans="1:3" x14ac:dyDescent="0.2">
      <c r="A45" s="83" t="s">
        <v>323</v>
      </c>
      <c r="B45" s="81" t="s">
        <v>344</v>
      </c>
      <c r="C45" s="85">
        <v>0.06</v>
      </c>
    </row>
    <row r="46" spans="1:3" x14ac:dyDescent="0.2">
      <c r="A46" s="83" t="s">
        <v>323</v>
      </c>
      <c r="B46" s="81" t="s">
        <v>333</v>
      </c>
      <c r="C46" s="85">
        <v>0.04</v>
      </c>
    </row>
    <row r="47" spans="1:3" x14ac:dyDescent="0.2">
      <c r="A47" s="83" t="s">
        <v>323</v>
      </c>
      <c r="B47" s="81" t="s">
        <v>345</v>
      </c>
      <c r="C47" s="85">
        <v>0.2</v>
      </c>
    </row>
    <row r="48" spans="1:3" x14ac:dyDescent="0.2">
      <c r="A48" s="83" t="s">
        <v>323</v>
      </c>
      <c r="B48" s="81" t="s">
        <v>334</v>
      </c>
      <c r="C48" s="85">
        <v>0.09</v>
      </c>
    </row>
    <row r="49" spans="1:3" x14ac:dyDescent="0.2">
      <c r="A49" s="83" t="s">
        <v>323</v>
      </c>
      <c r="B49" s="81" t="s">
        <v>335</v>
      </c>
      <c r="C49" s="85">
        <v>0.08</v>
      </c>
    </row>
    <row r="50" spans="1:3" x14ac:dyDescent="0.2">
      <c r="A50" s="82" t="s">
        <v>324</v>
      </c>
      <c r="B50" s="80" t="s">
        <v>7</v>
      </c>
      <c r="C50" s="84">
        <v>0.16</v>
      </c>
    </row>
    <row r="51" spans="1:3" x14ac:dyDescent="0.2">
      <c r="A51" s="82" t="s">
        <v>324</v>
      </c>
      <c r="B51" s="80" t="s">
        <v>8</v>
      </c>
      <c r="C51" s="84">
        <v>0.13</v>
      </c>
    </row>
    <row r="52" spans="1:3" x14ac:dyDescent="0.2">
      <c r="A52" s="82" t="s">
        <v>324</v>
      </c>
      <c r="B52" s="80" t="s">
        <v>332</v>
      </c>
      <c r="C52" s="84">
        <v>0.15</v>
      </c>
    </row>
    <row r="53" spans="1:3" x14ac:dyDescent="0.2">
      <c r="A53" s="82" t="s">
        <v>324</v>
      </c>
      <c r="B53" s="80" t="s">
        <v>344</v>
      </c>
      <c r="C53" s="84">
        <v>0.08</v>
      </c>
    </row>
    <row r="54" spans="1:3" x14ac:dyDescent="0.2">
      <c r="A54" s="82" t="s">
        <v>324</v>
      </c>
      <c r="B54" s="80" t="s">
        <v>333</v>
      </c>
      <c r="C54" s="84">
        <v>0.04</v>
      </c>
    </row>
    <row r="55" spans="1:3" x14ac:dyDescent="0.2">
      <c r="A55" s="82" t="s">
        <v>324</v>
      </c>
      <c r="B55" s="80" t="s">
        <v>345</v>
      </c>
      <c r="C55" s="84">
        <v>0.36</v>
      </c>
    </row>
    <row r="56" spans="1:3" x14ac:dyDescent="0.2">
      <c r="A56" s="82" t="s">
        <v>324</v>
      </c>
      <c r="B56" s="80" t="s">
        <v>334</v>
      </c>
      <c r="C56" s="84">
        <v>0.08</v>
      </c>
    </row>
    <row r="57" spans="1:3" x14ac:dyDescent="0.2">
      <c r="A57" s="82" t="s">
        <v>324</v>
      </c>
      <c r="B57" s="80" t="s">
        <v>335</v>
      </c>
      <c r="C57" s="84">
        <v>0</v>
      </c>
    </row>
    <row r="58" spans="1:3" x14ac:dyDescent="0.2">
      <c r="A58" s="83" t="s">
        <v>325</v>
      </c>
      <c r="B58" s="81" t="s">
        <v>7</v>
      </c>
      <c r="C58" s="85">
        <v>0.14000000000000001</v>
      </c>
    </row>
    <row r="59" spans="1:3" x14ac:dyDescent="0.2">
      <c r="A59" s="83" t="s">
        <v>325</v>
      </c>
      <c r="B59" s="81" t="s">
        <v>8</v>
      </c>
      <c r="C59" s="85">
        <v>0.13</v>
      </c>
    </row>
    <row r="60" spans="1:3" x14ac:dyDescent="0.2">
      <c r="A60" s="83" t="s">
        <v>325</v>
      </c>
      <c r="B60" s="81" t="s">
        <v>332</v>
      </c>
      <c r="C60" s="85">
        <v>0.16</v>
      </c>
    </row>
    <row r="61" spans="1:3" x14ac:dyDescent="0.2">
      <c r="A61" s="83" t="s">
        <v>325</v>
      </c>
      <c r="B61" s="81" t="s">
        <v>344</v>
      </c>
      <c r="C61" s="85">
        <v>7.0000000000000007E-2</v>
      </c>
    </row>
    <row r="62" spans="1:3" x14ac:dyDescent="0.2">
      <c r="A62" s="83" t="s">
        <v>325</v>
      </c>
      <c r="B62" s="81" t="s">
        <v>333</v>
      </c>
      <c r="C62" s="85">
        <v>0.03</v>
      </c>
    </row>
    <row r="63" spans="1:3" x14ac:dyDescent="0.2">
      <c r="A63" s="83" t="s">
        <v>325</v>
      </c>
      <c r="B63" s="81" t="s">
        <v>345</v>
      </c>
      <c r="C63" s="85">
        <v>0.36</v>
      </c>
    </row>
    <row r="64" spans="1:3" x14ac:dyDescent="0.2">
      <c r="A64" s="83" t="s">
        <v>325</v>
      </c>
      <c r="B64" s="81" t="s">
        <v>334</v>
      </c>
      <c r="C64" s="85">
        <v>0.09</v>
      </c>
    </row>
    <row r="65" spans="1:3" x14ac:dyDescent="0.2">
      <c r="A65" s="83" t="s">
        <v>325</v>
      </c>
      <c r="B65" s="81" t="s">
        <v>335</v>
      </c>
      <c r="C65" s="85">
        <v>0.02</v>
      </c>
    </row>
    <row r="66" spans="1:3" x14ac:dyDescent="0.2">
      <c r="A66" s="82" t="s">
        <v>326</v>
      </c>
      <c r="B66" s="80" t="s">
        <v>7</v>
      </c>
      <c r="C66" s="84">
        <v>0.15</v>
      </c>
    </row>
    <row r="67" spans="1:3" x14ac:dyDescent="0.2">
      <c r="A67" s="82" t="s">
        <v>326</v>
      </c>
      <c r="B67" s="80" t="s">
        <v>8</v>
      </c>
      <c r="C67" s="84">
        <v>0.15</v>
      </c>
    </row>
    <row r="68" spans="1:3" x14ac:dyDescent="0.2">
      <c r="A68" s="82" t="s">
        <v>326</v>
      </c>
      <c r="B68" s="80" t="s">
        <v>332</v>
      </c>
      <c r="C68" s="84">
        <v>0.16</v>
      </c>
    </row>
    <row r="69" spans="1:3" x14ac:dyDescent="0.2">
      <c r="A69" s="82" t="s">
        <v>326</v>
      </c>
      <c r="B69" s="80" t="s">
        <v>344</v>
      </c>
      <c r="C69" s="84">
        <v>7.0000000000000007E-2</v>
      </c>
    </row>
    <row r="70" spans="1:3" x14ac:dyDescent="0.2">
      <c r="A70" s="82" t="s">
        <v>326</v>
      </c>
      <c r="B70" s="80" t="s">
        <v>333</v>
      </c>
      <c r="C70" s="84">
        <v>0.05</v>
      </c>
    </row>
    <row r="71" spans="1:3" x14ac:dyDescent="0.2">
      <c r="A71" s="82" t="s">
        <v>326</v>
      </c>
      <c r="B71" s="80" t="s">
        <v>345</v>
      </c>
      <c r="C71" s="84">
        <v>0.35</v>
      </c>
    </row>
    <row r="72" spans="1:3" x14ac:dyDescent="0.2">
      <c r="A72" s="82" t="s">
        <v>326</v>
      </c>
      <c r="B72" s="80" t="s">
        <v>334</v>
      </c>
      <c r="C72" s="84">
        <v>0.05</v>
      </c>
    </row>
    <row r="73" spans="1:3" x14ac:dyDescent="0.2">
      <c r="A73" s="82" t="s">
        <v>326</v>
      </c>
      <c r="B73" s="80" t="s">
        <v>335</v>
      </c>
      <c r="C73" s="84">
        <v>0.02</v>
      </c>
    </row>
    <row r="74" spans="1:3" x14ac:dyDescent="0.2">
      <c r="A74" s="83" t="s">
        <v>327</v>
      </c>
      <c r="B74" s="81" t="s">
        <v>7</v>
      </c>
      <c r="C74" s="85">
        <v>0.15</v>
      </c>
    </row>
    <row r="75" spans="1:3" x14ac:dyDescent="0.2">
      <c r="A75" s="83" t="s">
        <v>327</v>
      </c>
      <c r="B75" s="81" t="s">
        <v>8</v>
      </c>
      <c r="C75" s="85">
        <v>0.15</v>
      </c>
    </row>
    <row r="76" spans="1:3" x14ac:dyDescent="0.2">
      <c r="A76" s="83" t="s">
        <v>327</v>
      </c>
      <c r="B76" s="81" t="s">
        <v>332</v>
      </c>
      <c r="C76" s="85">
        <v>0.17</v>
      </c>
    </row>
    <row r="77" spans="1:3" x14ac:dyDescent="0.2">
      <c r="A77" s="83" t="s">
        <v>327</v>
      </c>
      <c r="B77" s="81" t="s">
        <v>344</v>
      </c>
      <c r="C77" s="85">
        <v>7.0000000000000007E-2</v>
      </c>
    </row>
    <row r="78" spans="1:3" x14ac:dyDescent="0.2">
      <c r="A78" s="83" t="s">
        <v>327</v>
      </c>
      <c r="B78" s="81" t="s">
        <v>333</v>
      </c>
      <c r="C78" s="85">
        <v>0.04</v>
      </c>
    </row>
    <row r="79" spans="1:3" x14ac:dyDescent="0.2">
      <c r="A79" s="83" t="s">
        <v>327</v>
      </c>
      <c r="B79" s="81" t="s">
        <v>345</v>
      </c>
      <c r="C79" s="85">
        <v>0.34</v>
      </c>
    </row>
    <row r="80" spans="1:3" x14ac:dyDescent="0.2">
      <c r="A80" s="83" t="s">
        <v>327</v>
      </c>
      <c r="B80" s="81" t="s">
        <v>334</v>
      </c>
      <c r="C80" s="85">
        <v>0.06</v>
      </c>
    </row>
    <row r="81" spans="1:3" x14ac:dyDescent="0.2">
      <c r="A81" s="83" t="s">
        <v>327</v>
      </c>
      <c r="B81" s="81" t="s">
        <v>335</v>
      </c>
      <c r="C81" s="85">
        <v>0.02</v>
      </c>
    </row>
    <row r="82" spans="1:3" x14ac:dyDescent="0.2">
      <c r="A82" s="82" t="s">
        <v>328</v>
      </c>
      <c r="B82" s="80" t="s">
        <v>7</v>
      </c>
      <c r="C82" s="84">
        <v>0.19</v>
      </c>
    </row>
    <row r="83" spans="1:3" x14ac:dyDescent="0.2">
      <c r="A83" s="82" t="s">
        <v>328</v>
      </c>
      <c r="B83" s="80" t="s">
        <v>8</v>
      </c>
      <c r="C83" s="84">
        <v>0.17</v>
      </c>
    </row>
    <row r="84" spans="1:3" x14ac:dyDescent="0.2">
      <c r="A84" s="82" t="s">
        <v>328</v>
      </c>
      <c r="B84" s="80" t="s">
        <v>332</v>
      </c>
      <c r="C84" s="84">
        <v>0.18</v>
      </c>
    </row>
    <row r="85" spans="1:3" x14ac:dyDescent="0.2">
      <c r="A85" s="82" t="s">
        <v>328</v>
      </c>
      <c r="B85" s="80" t="s">
        <v>344</v>
      </c>
      <c r="C85" s="84">
        <v>0.05</v>
      </c>
    </row>
    <row r="86" spans="1:3" x14ac:dyDescent="0.2">
      <c r="A86" s="82" t="s">
        <v>328</v>
      </c>
      <c r="B86" s="80" t="s">
        <v>333</v>
      </c>
      <c r="C86" s="84">
        <v>0.04</v>
      </c>
    </row>
    <row r="87" spans="1:3" x14ac:dyDescent="0.2">
      <c r="A87" s="82" t="s">
        <v>328</v>
      </c>
      <c r="B87" s="80" t="s">
        <v>345</v>
      </c>
      <c r="C87" s="84">
        <v>0.27</v>
      </c>
    </row>
    <row r="88" spans="1:3" x14ac:dyDescent="0.2">
      <c r="A88" s="82" t="s">
        <v>328</v>
      </c>
      <c r="B88" s="80" t="s">
        <v>334</v>
      </c>
      <c r="C88" s="84">
        <v>0.09</v>
      </c>
    </row>
    <row r="89" spans="1:3" x14ac:dyDescent="0.2">
      <c r="A89" s="82" t="s">
        <v>328</v>
      </c>
      <c r="B89" s="80" t="s">
        <v>335</v>
      </c>
      <c r="C89" s="84">
        <v>0.01</v>
      </c>
    </row>
    <row r="90" spans="1:3" x14ac:dyDescent="0.2">
      <c r="A90" s="83" t="s">
        <v>329</v>
      </c>
      <c r="B90" s="81" t="s">
        <v>7</v>
      </c>
      <c r="C90" s="85">
        <v>0.22</v>
      </c>
    </row>
    <row r="91" spans="1:3" x14ac:dyDescent="0.2">
      <c r="A91" s="83" t="s">
        <v>329</v>
      </c>
      <c r="B91" s="81" t="s">
        <v>8</v>
      </c>
      <c r="C91" s="85">
        <v>0.17</v>
      </c>
    </row>
    <row r="92" spans="1:3" x14ac:dyDescent="0.2">
      <c r="A92" s="83" t="s">
        <v>329</v>
      </c>
      <c r="B92" s="81" t="s">
        <v>332</v>
      </c>
      <c r="C92" s="85">
        <v>0.18</v>
      </c>
    </row>
    <row r="93" spans="1:3" x14ac:dyDescent="0.2">
      <c r="A93" s="83" t="s">
        <v>329</v>
      </c>
      <c r="B93" s="81" t="s">
        <v>344</v>
      </c>
      <c r="C93" s="85">
        <v>0.06</v>
      </c>
    </row>
    <row r="94" spans="1:3" x14ac:dyDescent="0.2">
      <c r="A94" s="83" t="s">
        <v>329</v>
      </c>
      <c r="B94" s="81" t="s">
        <v>333</v>
      </c>
      <c r="C94" s="85">
        <v>0.04</v>
      </c>
    </row>
    <row r="95" spans="1:3" x14ac:dyDescent="0.2">
      <c r="A95" s="83" t="s">
        <v>329</v>
      </c>
      <c r="B95" s="81" t="s">
        <v>345</v>
      </c>
      <c r="C95" s="85">
        <v>0.24</v>
      </c>
    </row>
    <row r="96" spans="1:3" x14ac:dyDescent="0.2">
      <c r="A96" s="83" t="s">
        <v>329</v>
      </c>
      <c r="B96" s="81" t="s">
        <v>334</v>
      </c>
      <c r="C96" s="85">
        <v>0.09</v>
      </c>
    </row>
    <row r="97" spans="1:3" x14ac:dyDescent="0.2">
      <c r="A97" s="89" t="s">
        <v>329</v>
      </c>
      <c r="B97" s="90" t="s">
        <v>335</v>
      </c>
      <c r="C97" s="91">
        <v>0.02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EC6FC-7827-8D40-9EE8-1C5D356FF7F3}">
  <dimension ref="A1:C97"/>
  <sheetViews>
    <sheetView zoomScale="75" workbookViewId="0">
      <selection activeCell="F10" sqref="F10"/>
    </sheetView>
  </sheetViews>
  <sheetFormatPr baseColWidth="10" defaultRowHeight="16" x14ac:dyDescent="0.2"/>
  <cols>
    <col min="1" max="1" width="25.5" bestFit="1" customWidth="1"/>
    <col min="2" max="2" width="24.83203125" bestFit="1" customWidth="1"/>
    <col min="3" max="3" width="23.83203125" bestFit="1" customWidth="1"/>
  </cols>
  <sheetData>
    <row r="1" spans="1:3" x14ac:dyDescent="0.2">
      <c r="A1" s="86" t="s">
        <v>340</v>
      </c>
      <c r="B1" s="87" t="s">
        <v>44</v>
      </c>
      <c r="C1" s="88" t="s">
        <v>341</v>
      </c>
    </row>
    <row r="2" spans="1:3" x14ac:dyDescent="0.2">
      <c r="A2" s="82" t="s">
        <v>318</v>
      </c>
      <c r="B2" s="80" t="s">
        <v>16</v>
      </c>
      <c r="C2" s="84">
        <v>0.2</v>
      </c>
    </row>
    <row r="3" spans="1:3" x14ac:dyDescent="0.2">
      <c r="A3" s="82" t="s">
        <v>318</v>
      </c>
      <c r="B3" s="80" t="s">
        <v>342</v>
      </c>
      <c r="C3" s="84">
        <v>0.18</v>
      </c>
    </row>
    <row r="4" spans="1:3" x14ac:dyDescent="0.2">
      <c r="A4" s="82" t="s">
        <v>318</v>
      </c>
      <c r="B4" s="80" t="s">
        <v>336</v>
      </c>
      <c r="C4" s="84">
        <v>0.11</v>
      </c>
    </row>
    <row r="5" spans="1:3" x14ac:dyDescent="0.2">
      <c r="A5" s="82" t="s">
        <v>318</v>
      </c>
      <c r="B5" s="80" t="s">
        <v>337</v>
      </c>
      <c r="C5" s="84">
        <v>0.09</v>
      </c>
    </row>
    <row r="6" spans="1:3" x14ac:dyDescent="0.2">
      <c r="A6" s="82" t="s">
        <v>318</v>
      </c>
      <c r="B6" s="80" t="s">
        <v>11</v>
      </c>
      <c r="C6" s="84">
        <v>0.1</v>
      </c>
    </row>
    <row r="7" spans="1:3" x14ac:dyDescent="0.2">
      <c r="A7" s="82" t="s">
        <v>318</v>
      </c>
      <c r="B7" s="80" t="s">
        <v>338</v>
      </c>
      <c r="C7" s="84">
        <v>0.12</v>
      </c>
    </row>
    <row r="8" spans="1:3" x14ac:dyDescent="0.2">
      <c r="A8" s="82" t="s">
        <v>318</v>
      </c>
      <c r="B8" s="80" t="s">
        <v>343</v>
      </c>
      <c r="C8" s="84">
        <v>0.03</v>
      </c>
    </row>
    <row r="9" spans="1:3" x14ac:dyDescent="0.2">
      <c r="A9" s="82" t="s">
        <v>318</v>
      </c>
      <c r="B9" s="80" t="s">
        <v>339</v>
      </c>
      <c r="C9" s="84">
        <v>0.17</v>
      </c>
    </row>
    <row r="10" spans="1:3" x14ac:dyDescent="0.2">
      <c r="A10" s="83" t="s">
        <v>319</v>
      </c>
      <c r="B10" s="81" t="s">
        <v>16</v>
      </c>
      <c r="C10" s="85">
        <v>0.21</v>
      </c>
    </row>
    <row r="11" spans="1:3" x14ac:dyDescent="0.2">
      <c r="A11" s="83" t="s">
        <v>319</v>
      </c>
      <c r="B11" s="81" t="s">
        <v>342</v>
      </c>
      <c r="C11" s="85">
        <v>0.23</v>
      </c>
    </row>
    <row r="12" spans="1:3" x14ac:dyDescent="0.2">
      <c r="A12" s="83" t="s">
        <v>319</v>
      </c>
      <c r="B12" s="81" t="s">
        <v>336</v>
      </c>
      <c r="C12" s="85">
        <v>0.12</v>
      </c>
    </row>
    <row r="13" spans="1:3" x14ac:dyDescent="0.2">
      <c r="A13" s="83" t="s">
        <v>319</v>
      </c>
      <c r="B13" s="81" t="s">
        <v>337</v>
      </c>
      <c r="C13" s="85">
        <v>0.09</v>
      </c>
    </row>
    <row r="14" spans="1:3" x14ac:dyDescent="0.2">
      <c r="A14" s="83" t="s">
        <v>319</v>
      </c>
      <c r="B14" s="81" t="s">
        <v>11</v>
      </c>
      <c r="C14" s="85">
        <v>0.09</v>
      </c>
    </row>
    <row r="15" spans="1:3" x14ac:dyDescent="0.2">
      <c r="A15" s="83" t="s">
        <v>319</v>
      </c>
      <c r="B15" s="81" t="s">
        <v>338</v>
      </c>
      <c r="C15" s="85">
        <v>0.11</v>
      </c>
    </row>
    <row r="16" spans="1:3" x14ac:dyDescent="0.2">
      <c r="A16" s="83" t="s">
        <v>319</v>
      </c>
      <c r="B16" s="81" t="s">
        <v>343</v>
      </c>
      <c r="C16" s="85">
        <v>0.03</v>
      </c>
    </row>
    <row r="17" spans="1:3" x14ac:dyDescent="0.2">
      <c r="A17" s="83" t="s">
        <v>319</v>
      </c>
      <c r="B17" s="81" t="s">
        <v>339</v>
      </c>
      <c r="C17" s="85">
        <v>0.12</v>
      </c>
    </row>
    <row r="18" spans="1:3" x14ac:dyDescent="0.2">
      <c r="A18" s="82" t="s">
        <v>320</v>
      </c>
      <c r="B18" s="80" t="s">
        <v>16</v>
      </c>
      <c r="C18" s="84">
        <v>0.2</v>
      </c>
    </row>
    <row r="19" spans="1:3" x14ac:dyDescent="0.2">
      <c r="A19" s="82" t="s">
        <v>320</v>
      </c>
      <c r="B19" s="80" t="s">
        <v>342</v>
      </c>
      <c r="C19" s="84">
        <v>0.22</v>
      </c>
    </row>
    <row r="20" spans="1:3" x14ac:dyDescent="0.2">
      <c r="A20" s="82" t="s">
        <v>320</v>
      </c>
      <c r="B20" s="80" t="s">
        <v>336</v>
      </c>
      <c r="C20" s="84">
        <v>0.13</v>
      </c>
    </row>
    <row r="21" spans="1:3" x14ac:dyDescent="0.2">
      <c r="A21" s="82" t="s">
        <v>320</v>
      </c>
      <c r="B21" s="80" t="s">
        <v>337</v>
      </c>
      <c r="C21" s="84">
        <v>0.09</v>
      </c>
    </row>
    <row r="22" spans="1:3" x14ac:dyDescent="0.2">
      <c r="A22" s="82" t="s">
        <v>320</v>
      </c>
      <c r="B22" s="80" t="s">
        <v>11</v>
      </c>
      <c r="C22" s="84">
        <v>0.1</v>
      </c>
    </row>
    <row r="23" spans="1:3" x14ac:dyDescent="0.2">
      <c r="A23" s="82" t="s">
        <v>320</v>
      </c>
      <c r="B23" s="80" t="s">
        <v>338</v>
      </c>
      <c r="C23" s="84">
        <v>0.1</v>
      </c>
    </row>
    <row r="24" spans="1:3" x14ac:dyDescent="0.2">
      <c r="A24" s="82" t="s">
        <v>320</v>
      </c>
      <c r="B24" s="80" t="s">
        <v>343</v>
      </c>
      <c r="C24" s="84">
        <v>0.03</v>
      </c>
    </row>
    <row r="25" spans="1:3" x14ac:dyDescent="0.2">
      <c r="A25" s="82" t="s">
        <v>320</v>
      </c>
      <c r="B25" s="80" t="s">
        <v>339</v>
      </c>
      <c r="C25" s="84">
        <v>0.13</v>
      </c>
    </row>
    <row r="26" spans="1:3" x14ac:dyDescent="0.2">
      <c r="A26" s="83" t="s">
        <v>321</v>
      </c>
      <c r="B26" s="81" t="s">
        <v>16</v>
      </c>
      <c r="C26" s="85">
        <v>0.19</v>
      </c>
    </row>
    <row r="27" spans="1:3" x14ac:dyDescent="0.2">
      <c r="A27" s="83" t="s">
        <v>321</v>
      </c>
      <c r="B27" s="81" t="s">
        <v>342</v>
      </c>
      <c r="C27" s="85">
        <v>0.21</v>
      </c>
    </row>
    <row r="28" spans="1:3" x14ac:dyDescent="0.2">
      <c r="A28" s="83" t="s">
        <v>321</v>
      </c>
      <c r="B28" s="81" t="s">
        <v>336</v>
      </c>
      <c r="C28" s="85">
        <v>0.14000000000000001</v>
      </c>
    </row>
    <row r="29" spans="1:3" x14ac:dyDescent="0.2">
      <c r="A29" s="83" t="s">
        <v>321</v>
      </c>
      <c r="B29" s="81" t="s">
        <v>337</v>
      </c>
      <c r="C29" s="85">
        <v>0.09</v>
      </c>
    </row>
    <row r="30" spans="1:3" x14ac:dyDescent="0.2">
      <c r="A30" s="83" t="s">
        <v>321</v>
      </c>
      <c r="B30" s="81" t="s">
        <v>11</v>
      </c>
      <c r="C30" s="85">
        <v>0.09</v>
      </c>
    </row>
    <row r="31" spans="1:3" x14ac:dyDescent="0.2">
      <c r="A31" s="83" t="s">
        <v>321</v>
      </c>
      <c r="B31" s="81" t="s">
        <v>338</v>
      </c>
      <c r="C31" s="85">
        <v>0.09</v>
      </c>
    </row>
    <row r="32" spans="1:3" x14ac:dyDescent="0.2">
      <c r="A32" s="83" t="s">
        <v>321</v>
      </c>
      <c r="B32" s="81" t="s">
        <v>343</v>
      </c>
      <c r="C32" s="85">
        <v>0.04</v>
      </c>
    </row>
    <row r="33" spans="1:3" x14ac:dyDescent="0.2">
      <c r="A33" s="83" t="s">
        <v>321</v>
      </c>
      <c r="B33" s="81" t="s">
        <v>339</v>
      </c>
      <c r="C33" s="85">
        <v>0.15</v>
      </c>
    </row>
    <row r="34" spans="1:3" x14ac:dyDescent="0.2">
      <c r="A34" s="82" t="s">
        <v>322</v>
      </c>
      <c r="B34" s="80" t="s">
        <v>16</v>
      </c>
      <c r="C34" s="84">
        <v>0.2</v>
      </c>
    </row>
    <row r="35" spans="1:3" x14ac:dyDescent="0.2">
      <c r="A35" s="82" t="s">
        <v>322</v>
      </c>
      <c r="B35" s="80" t="s">
        <v>342</v>
      </c>
      <c r="C35" s="84">
        <v>0.21</v>
      </c>
    </row>
    <row r="36" spans="1:3" x14ac:dyDescent="0.2">
      <c r="A36" s="82" t="s">
        <v>322</v>
      </c>
      <c r="B36" s="80" t="s">
        <v>336</v>
      </c>
      <c r="C36" s="84">
        <v>0.15</v>
      </c>
    </row>
    <row r="37" spans="1:3" x14ac:dyDescent="0.2">
      <c r="A37" s="82" t="s">
        <v>322</v>
      </c>
      <c r="B37" s="80" t="s">
        <v>337</v>
      </c>
      <c r="C37" s="84">
        <v>0.09</v>
      </c>
    </row>
    <row r="38" spans="1:3" x14ac:dyDescent="0.2">
      <c r="A38" s="82" t="s">
        <v>322</v>
      </c>
      <c r="B38" s="80" t="s">
        <v>11</v>
      </c>
      <c r="C38" s="84">
        <v>0.09</v>
      </c>
    </row>
    <row r="39" spans="1:3" x14ac:dyDescent="0.2">
      <c r="A39" s="82" t="s">
        <v>322</v>
      </c>
      <c r="B39" s="80" t="s">
        <v>338</v>
      </c>
      <c r="C39" s="84">
        <v>0.08</v>
      </c>
    </row>
    <row r="40" spans="1:3" x14ac:dyDescent="0.2">
      <c r="A40" s="82" t="s">
        <v>322</v>
      </c>
      <c r="B40" s="80" t="s">
        <v>343</v>
      </c>
      <c r="C40" s="84">
        <v>0.04</v>
      </c>
    </row>
    <row r="41" spans="1:3" x14ac:dyDescent="0.2">
      <c r="A41" s="82" t="s">
        <v>322</v>
      </c>
      <c r="B41" s="80" t="s">
        <v>339</v>
      </c>
      <c r="C41" s="84">
        <v>0.14000000000000001</v>
      </c>
    </row>
    <row r="42" spans="1:3" x14ac:dyDescent="0.2">
      <c r="A42" s="83" t="s">
        <v>323</v>
      </c>
      <c r="B42" s="81" t="s">
        <v>16</v>
      </c>
      <c r="C42" s="85">
        <v>0.18</v>
      </c>
    </row>
    <row r="43" spans="1:3" x14ac:dyDescent="0.2">
      <c r="A43" s="83" t="s">
        <v>323</v>
      </c>
      <c r="B43" s="81" t="s">
        <v>342</v>
      </c>
      <c r="C43" s="85">
        <v>0.2</v>
      </c>
    </row>
    <row r="44" spans="1:3" x14ac:dyDescent="0.2">
      <c r="A44" s="83" t="s">
        <v>323</v>
      </c>
      <c r="B44" s="81" t="s">
        <v>336</v>
      </c>
      <c r="C44" s="85">
        <v>0.15</v>
      </c>
    </row>
    <row r="45" spans="1:3" x14ac:dyDescent="0.2">
      <c r="A45" s="83" t="s">
        <v>323</v>
      </c>
      <c r="B45" s="81" t="s">
        <v>337</v>
      </c>
      <c r="C45" s="85">
        <v>0.09</v>
      </c>
    </row>
    <row r="46" spans="1:3" x14ac:dyDescent="0.2">
      <c r="A46" s="83" t="s">
        <v>323</v>
      </c>
      <c r="B46" s="81" t="s">
        <v>11</v>
      </c>
      <c r="C46" s="85">
        <v>0.08</v>
      </c>
    </row>
    <row r="47" spans="1:3" x14ac:dyDescent="0.2">
      <c r="A47" s="83" t="s">
        <v>323</v>
      </c>
      <c r="B47" s="81" t="s">
        <v>338</v>
      </c>
      <c r="C47" s="85">
        <v>0.06</v>
      </c>
    </row>
    <row r="48" spans="1:3" x14ac:dyDescent="0.2">
      <c r="A48" s="83" t="s">
        <v>323</v>
      </c>
      <c r="B48" s="81" t="s">
        <v>343</v>
      </c>
      <c r="C48" s="85">
        <v>0.04</v>
      </c>
    </row>
    <row r="49" spans="1:3" x14ac:dyDescent="0.2">
      <c r="A49" s="83" t="s">
        <v>323</v>
      </c>
      <c r="B49" s="81" t="s">
        <v>339</v>
      </c>
      <c r="C49" s="85">
        <v>0.2</v>
      </c>
    </row>
    <row r="50" spans="1:3" x14ac:dyDescent="0.2">
      <c r="A50" s="82" t="s">
        <v>324</v>
      </c>
      <c r="B50" s="80" t="s">
        <v>16</v>
      </c>
      <c r="C50" s="84">
        <v>0.23</v>
      </c>
    </row>
    <row r="51" spans="1:3" x14ac:dyDescent="0.2">
      <c r="A51" s="82" t="s">
        <v>324</v>
      </c>
      <c r="B51" s="80" t="s">
        <v>342</v>
      </c>
      <c r="C51" s="84">
        <v>0.2</v>
      </c>
    </row>
    <row r="52" spans="1:3" x14ac:dyDescent="0.2">
      <c r="A52" s="82" t="s">
        <v>324</v>
      </c>
      <c r="B52" s="80" t="s">
        <v>336</v>
      </c>
      <c r="C52" s="84">
        <v>0.14000000000000001</v>
      </c>
    </row>
    <row r="53" spans="1:3" x14ac:dyDescent="0.2">
      <c r="A53" s="82" t="s">
        <v>324</v>
      </c>
      <c r="B53" s="80" t="s">
        <v>337</v>
      </c>
      <c r="C53" s="84">
        <v>0.09</v>
      </c>
    </row>
    <row r="54" spans="1:3" x14ac:dyDescent="0.2">
      <c r="A54" s="82" t="s">
        <v>324</v>
      </c>
      <c r="B54" s="80" t="s">
        <v>11</v>
      </c>
      <c r="C54" s="84">
        <v>0.08</v>
      </c>
    </row>
    <row r="55" spans="1:3" x14ac:dyDescent="0.2">
      <c r="A55" s="82" t="s">
        <v>324</v>
      </c>
      <c r="B55" s="80" t="s">
        <v>338</v>
      </c>
      <c r="C55" s="84">
        <v>0.09</v>
      </c>
    </row>
    <row r="56" spans="1:3" x14ac:dyDescent="0.2">
      <c r="A56" s="82" t="s">
        <v>324</v>
      </c>
      <c r="B56" s="80" t="s">
        <v>343</v>
      </c>
      <c r="C56" s="84">
        <v>0.04</v>
      </c>
    </row>
    <row r="57" spans="1:3" x14ac:dyDescent="0.2">
      <c r="A57" s="82" t="s">
        <v>324</v>
      </c>
      <c r="B57" s="80" t="s">
        <v>339</v>
      </c>
      <c r="C57" s="84">
        <v>0.13</v>
      </c>
    </row>
    <row r="58" spans="1:3" x14ac:dyDescent="0.2">
      <c r="A58" s="83" t="s">
        <v>325</v>
      </c>
      <c r="B58" s="81" t="s">
        <v>16</v>
      </c>
      <c r="C58" s="85">
        <v>0.2</v>
      </c>
    </row>
    <row r="59" spans="1:3" x14ac:dyDescent="0.2">
      <c r="A59" s="83" t="s">
        <v>325</v>
      </c>
      <c r="B59" s="81" t="s">
        <v>342</v>
      </c>
      <c r="C59" s="85">
        <v>0.2</v>
      </c>
    </row>
    <row r="60" spans="1:3" x14ac:dyDescent="0.2">
      <c r="A60" s="83" t="s">
        <v>325</v>
      </c>
      <c r="B60" s="81" t="s">
        <v>336</v>
      </c>
      <c r="C60" s="85">
        <v>0.15</v>
      </c>
    </row>
    <row r="61" spans="1:3" x14ac:dyDescent="0.2">
      <c r="A61" s="83" t="s">
        <v>325</v>
      </c>
      <c r="B61" s="81" t="s">
        <v>337</v>
      </c>
      <c r="C61" s="85">
        <v>0.09</v>
      </c>
    </row>
    <row r="62" spans="1:3" x14ac:dyDescent="0.2">
      <c r="A62" s="83" t="s">
        <v>325</v>
      </c>
      <c r="B62" s="81" t="s">
        <v>11</v>
      </c>
      <c r="C62" s="85">
        <v>0.08</v>
      </c>
    </row>
    <row r="63" spans="1:3" x14ac:dyDescent="0.2">
      <c r="A63" s="83" t="s">
        <v>325</v>
      </c>
      <c r="B63" s="81" t="s">
        <v>338</v>
      </c>
      <c r="C63" s="85">
        <v>0.08</v>
      </c>
    </row>
    <row r="64" spans="1:3" x14ac:dyDescent="0.2">
      <c r="A64" s="83" t="s">
        <v>325</v>
      </c>
      <c r="B64" s="81" t="s">
        <v>343</v>
      </c>
      <c r="C64" s="85">
        <v>0.04</v>
      </c>
    </row>
    <row r="65" spans="1:3" x14ac:dyDescent="0.2">
      <c r="A65" s="83" t="s">
        <v>325</v>
      </c>
      <c r="B65" s="81" t="s">
        <v>339</v>
      </c>
      <c r="C65" s="85">
        <v>0.16</v>
      </c>
    </row>
    <row r="66" spans="1:3" x14ac:dyDescent="0.2">
      <c r="A66" s="82" t="s">
        <v>326</v>
      </c>
      <c r="B66" s="80" t="s">
        <v>16</v>
      </c>
      <c r="C66" s="84">
        <v>0.2</v>
      </c>
    </row>
    <row r="67" spans="1:3" x14ac:dyDescent="0.2">
      <c r="A67" s="82" t="s">
        <v>326</v>
      </c>
      <c r="B67" s="80" t="s">
        <v>342</v>
      </c>
      <c r="C67" s="84">
        <v>0.17</v>
      </c>
    </row>
    <row r="68" spans="1:3" x14ac:dyDescent="0.2">
      <c r="A68" s="82" t="s">
        <v>326</v>
      </c>
      <c r="B68" s="80" t="s">
        <v>336</v>
      </c>
      <c r="C68" s="84">
        <v>0.15</v>
      </c>
    </row>
    <row r="69" spans="1:3" x14ac:dyDescent="0.2">
      <c r="A69" s="82" t="s">
        <v>326</v>
      </c>
      <c r="B69" s="80" t="s">
        <v>337</v>
      </c>
      <c r="C69" s="84">
        <v>0.09</v>
      </c>
    </row>
    <row r="70" spans="1:3" x14ac:dyDescent="0.2">
      <c r="A70" s="82" t="s">
        <v>326</v>
      </c>
      <c r="B70" s="80" t="s">
        <v>11</v>
      </c>
      <c r="C70" s="84">
        <v>0.08</v>
      </c>
    </row>
    <row r="71" spans="1:3" x14ac:dyDescent="0.2">
      <c r="A71" s="82" t="s">
        <v>326</v>
      </c>
      <c r="B71" s="80" t="s">
        <v>338</v>
      </c>
      <c r="C71" s="84">
        <v>0.08</v>
      </c>
    </row>
    <row r="72" spans="1:3" x14ac:dyDescent="0.2">
      <c r="A72" s="82" t="s">
        <v>326</v>
      </c>
      <c r="B72" s="80" t="s">
        <v>343</v>
      </c>
      <c r="C72" s="84">
        <v>0.04</v>
      </c>
    </row>
    <row r="73" spans="1:3" x14ac:dyDescent="0.2">
      <c r="A73" s="82" t="s">
        <v>326</v>
      </c>
      <c r="B73" s="80" t="s">
        <v>339</v>
      </c>
      <c r="C73" s="84">
        <v>0.19</v>
      </c>
    </row>
    <row r="74" spans="1:3" x14ac:dyDescent="0.2">
      <c r="A74" s="83" t="s">
        <v>327</v>
      </c>
      <c r="B74" s="81" t="s">
        <v>16</v>
      </c>
      <c r="C74" s="85">
        <v>0.2</v>
      </c>
    </row>
    <row r="75" spans="1:3" x14ac:dyDescent="0.2">
      <c r="A75" s="83" t="s">
        <v>327</v>
      </c>
      <c r="B75" s="81" t="s">
        <v>342</v>
      </c>
      <c r="C75" s="85">
        <v>0.18</v>
      </c>
    </row>
    <row r="76" spans="1:3" x14ac:dyDescent="0.2">
      <c r="A76" s="83" t="s">
        <v>327</v>
      </c>
      <c r="B76" s="81" t="s">
        <v>336</v>
      </c>
      <c r="C76" s="85">
        <v>0.17</v>
      </c>
    </row>
    <row r="77" spans="1:3" x14ac:dyDescent="0.2">
      <c r="A77" s="83" t="s">
        <v>327</v>
      </c>
      <c r="B77" s="81" t="s">
        <v>337</v>
      </c>
      <c r="C77" s="85">
        <v>0.09</v>
      </c>
    </row>
    <row r="78" spans="1:3" x14ac:dyDescent="0.2">
      <c r="A78" s="83" t="s">
        <v>327</v>
      </c>
      <c r="B78" s="81" t="s">
        <v>11</v>
      </c>
      <c r="C78" s="85">
        <v>0.08</v>
      </c>
    </row>
    <row r="79" spans="1:3" x14ac:dyDescent="0.2">
      <c r="A79" s="83" t="s">
        <v>327</v>
      </c>
      <c r="B79" s="81" t="s">
        <v>338</v>
      </c>
      <c r="C79" s="85">
        <v>0.09</v>
      </c>
    </row>
    <row r="80" spans="1:3" x14ac:dyDescent="0.2">
      <c r="A80" s="83" t="s">
        <v>327</v>
      </c>
      <c r="B80" s="81" t="s">
        <v>343</v>
      </c>
      <c r="C80" s="85">
        <v>0.04</v>
      </c>
    </row>
    <row r="81" spans="1:3" x14ac:dyDescent="0.2">
      <c r="A81" s="83" t="s">
        <v>327</v>
      </c>
      <c r="B81" s="81" t="s">
        <v>339</v>
      </c>
      <c r="C81" s="85">
        <v>0.15</v>
      </c>
    </row>
    <row r="82" spans="1:3" x14ac:dyDescent="0.2">
      <c r="A82" s="82" t="s">
        <v>328</v>
      </c>
      <c r="B82" s="80" t="s">
        <v>16</v>
      </c>
      <c r="C82" s="84">
        <v>0.2</v>
      </c>
    </row>
    <row r="83" spans="1:3" x14ac:dyDescent="0.2">
      <c r="A83" s="82" t="s">
        <v>328</v>
      </c>
      <c r="B83" s="80" t="s">
        <v>342</v>
      </c>
      <c r="C83" s="84">
        <v>0.22</v>
      </c>
    </row>
    <row r="84" spans="1:3" x14ac:dyDescent="0.2">
      <c r="A84" s="82" t="s">
        <v>328</v>
      </c>
      <c r="B84" s="80" t="s">
        <v>336</v>
      </c>
      <c r="C84" s="84">
        <v>0.16</v>
      </c>
    </row>
    <row r="85" spans="1:3" x14ac:dyDescent="0.2">
      <c r="A85" s="82" t="s">
        <v>328</v>
      </c>
      <c r="B85" s="80" t="s">
        <v>337</v>
      </c>
      <c r="C85" s="84">
        <v>0.08</v>
      </c>
    </row>
    <row r="86" spans="1:3" x14ac:dyDescent="0.2">
      <c r="A86" s="82" t="s">
        <v>328</v>
      </c>
      <c r="B86" s="80" t="s">
        <v>11</v>
      </c>
      <c r="C86" s="84">
        <v>0.08</v>
      </c>
    </row>
    <row r="87" spans="1:3" x14ac:dyDescent="0.2">
      <c r="A87" s="82" t="s">
        <v>328</v>
      </c>
      <c r="B87" s="80" t="s">
        <v>338</v>
      </c>
      <c r="C87" s="84">
        <v>0.06</v>
      </c>
    </row>
    <row r="88" spans="1:3" x14ac:dyDescent="0.2">
      <c r="A88" s="82" t="s">
        <v>328</v>
      </c>
      <c r="B88" s="80" t="s">
        <v>343</v>
      </c>
      <c r="C88" s="84">
        <v>0.04</v>
      </c>
    </row>
    <row r="89" spans="1:3" x14ac:dyDescent="0.2">
      <c r="A89" s="82" t="s">
        <v>328</v>
      </c>
      <c r="B89" s="80" t="s">
        <v>339</v>
      </c>
      <c r="C89" s="84">
        <v>0.16</v>
      </c>
    </row>
    <row r="90" spans="1:3" x14ac:dyDescent="0.2">
      <c r="A90" s="83" t="s">
        <v>329</v>
      </c>
      <c r="B90" s="81" t="s">
        <v>16</v>
      </c>
      <c r="C90" s="85">
        <v>0.2</v>
      </c>
    </row>
    <row r="91" spans="1:3" x14ac:dyDescent="0.2">
      <c r="A91" s="83" t="s">
        <v>329</v>
      </c>
      <c r="B91" s="81" t="s">
        <v>342</v>
      </c>
      <c r="C91" s="85">
        <v>0.22</v>
      </c>
    </row>
    <row r="92" spans="1:3" x14ac:dyDescent="0.2">
      <c r="A92" s="83" t="s">
        <v>329</v>
      </c>
      <c r="B92" s="81" t="s">
        <v>336</v>
      </c>
      <c r="C92" s="85">
        <v>0.16</v>
      </c>
    </row>
    <row r="93" spans="1:3" x14ac:dyDescent="0.2">
      <c r="A93" s="83" t="s">
        <v>329</v>
      </c>
      <c r="B93" s="81" t="s">
        <v>337</v>
      </c>
      <c r="C93" s="85">
        <v>0.08</v>
      </c>
    </row>
    <row r="94" spans="1:3" x14ac:dyDescent="0.2">
      <c r="A94" s="83" t="s">
        <v>329</v>
      </c>
      <c r="B94" s="81" t="s">
        <v>11</v>
      </c>
      <c r="C94" s="85">
        <v>0.08</v>
      </c>
    </row>
    <row r="95" spans="1:3" x14ac:dyDescent="0.2">
      <c r="A95" s="83" t="s">
        <v>329</v>
      </c>
      <c r="B95" s="81" t="s">
        <v>338</v>
      </c>
      <c r="C95" s="85">
        <v>0.06</v>
      </c>
    </row>
    <row r="96" spans="1:3" x14ac:dyDescent="0.2">
      <c r="A96" s="83" t="s">
        <v>329</v>
      </c>
      <c r="B96" s="81" t="s">
        <v>343</v>
      </c>
      <c r="C96" s="85">
        <v>0.02</v>
      </c>
    </row>
    <row r="97" spans="1:3" x14ac:dyDescent="0.2">
      <c r="A97" s="89" t="s">
        <v>329</v>
      </c>
      <c r="B97" s="90" t="s">
        <v>339</v>
      </c>
      <c r="C97" s="91">
        <v>0.18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45781-7D1B-DB4C-81BF-8BDC665FEDAA}">
  <dimension ref="A1:E13"/>
  <sheetViews>
    <sheetView zoomScale="125" workbookViewId="0">
      <selection activeCell="C17" sqref="C17"/>
    </sheetView>
  </sheetViews>
  <sheetFormatPr baseColWidth="10" defaultRowHeight="16" x14ac:dyDescent="0.2"/>
  <cols>
    <col min="1" max="1" width="14.33203125" customWidth="1"/>
  </cols>
  <sheetData>
    <row r="1" spans="1:5" ht="28" x14ac:dyDescent="0.2">
      <c r="A1" s="35" t="s">
        <v>226</v>
      </c>
      <c r="B1" s="35" t="s">
        <v>228</v>
      </c>
      <c r="C1" s="35" t="s">
        <v>229</v>
      </c>
      <c r="D1" s="35" t="s">
        <v>230</v>
      </c>
      <c r="E1" s="35" t="s">
        <v>231</v>
      </c>
    </row>
    <row r="2" spans="1:5" x14ac:dyDescent="0.2">
      <c r="A2" s="36" t="s">
        <v>21</v>
      </c>
      <c r="B2" s="37">
        <v>5.97</v>
      </c>
      <c r="C2" s="38"/>
      <c r="D2" s="37">
        <v>61.29</v>
      </c>
      <c r="E2" s="38"/>
    </row>
    <row r="3" spans="1:5" x14ac:dyDescent="0.2">
      <c r="A3" s="39" t="s">
        <v>22</v>
      </c>
      <c r="B3" s="40">
        <v>4.88</v>
      </c>
      <c r="C3" s="41">
        <v>-18.260000000000002</v>
      </c>
      <c r="D3" s="40">
        <v>65.5</v>
      </c>
      <c r="E3" s="42">
        <v>6.87</v>
      </c>
    </row>
    <row r="4" spans="1:5" x14ac:dyDescent="0.2">
      <c r="A4" s="36" t="s">
        <v>23</v>
      </c>
      <c r="B4" s="37">
        <v>4.53</v>
      </c>
      <c r="C4" s="43">
        <v>-7.17</v>
      </c>
      <c r="D4" s="37">
        <v>67.06</v>
      </c>
      <c r="E4" s="44">
        <v>2.38</v>
      </c>
    </row>
    <row r="5" spans="1:5" x14ac:dyDescent="0.2">
      <c r="A5" s="39" t="s">
        <v>24</v>
      </c>
      <c r="B5" s="40">
        <v>3.6</v>
      </c>
      <c r="C5" s="41">
        <v>-20.53</v>
      </c>
      <c r="D5" s="40">
        <v>64.510000000000005</v>
      </c>
      <c r="E5" s="41">
        <v>-3.8</v>
      </c>
    </row>
    <row r="6" spans="1:5" x14ac:dyDescent="0.2">
      <c r="A6" s="36" t="s">
        <v>25</v>
      </c>
      <c r="B6" s="37">
        <v>3.4</v>
      </c>
      <c r="C6" s="43">
        <v>-5.56</v>
      </c>
      <c r="D6" s="37">
        <v>70.09</v>
      </c>
      <c r="E6" s="44">
        <v>8.65</v>
      </c>
    </row>
    <row r="7" spans="1:5" x14ac:dyDescent="0.2">
      <c r="A7" s="39" t="s">
        <v>26</v>
      </c>
      <c r="B7" s="40">
        <v>4.8</v>
      </c>
      <c r="C7" s="42">
        <v>41.18</v>
      </c>
      <c r="D7" s="40">
        <v>70.92</v>
      </c>
      <c r="E7" s="42">
        <v>1.18</v>
      </c>
    </row>
    <row r="8" spans="1:5" x14ac:dyDescent="0.2">
      <c r="A8" s="36" t="s">
        <v>27</v>
      </c>
      <c r="B8" s="37">
        <v>6.17</v>
      </c>
      <c r="C8" s="44">
        <v>28.54</v>
      </c>
      <c r="D8" s="37">
        <v>74.2</v>
      </c>
      <c r="E8" s="44">
        <v>4.62</v>
      </c>
    </row>
    <row r="9" spans="1:5" x14ac:dyDescent="0.2">
      <c r="A9" s="39" t="s">
        <v>28</v>
      </c>
      <c r="B9" s="40">
        <v>5.52</v>
      </c>
      <c r="C9" s="41">
        <v>-10.53</v>
      </c>
      <c r="D9" s="40">
        <v>74.7</v>
      </c>
      <c r="E9" s="42">
        <v>0.67</v>
      </c>
    </row>
    <row r="10" spans="1:5" x14ac:dyDescent="0.2">
      <c r="A10" s="36" t="s">
        <v>29</v>
      </c>
      <c r="B10" s="37">
        <v>6.64</v>
      </c>
      <c r="C10" s="44">
        <v>20.29</v>
      </c>
      <c r="D10" s="37">
        <v>80.47</v>
      </c>
      <c r="E10" s="44">
        <v>7.72</v>
      </c>
    </row>
    <row r="11" spans="1:5" x14ac:dyDescent="0.2">
      <c r="A11" s="39" t="s">
        <v>30</v>
      </c>
      <c r="B11" s="40">
        <v>5.37</v>
      </c>
      <c r="C11" s="41">
        <v>-19.13</v>
      </c>
      <c r="D11" s="40">
        <v>82.79</v>
      </c>
      <c r="E11" s="42">
        <v>2.88</v>
      </c>
    </row>
    <row r="12" spans="1:5" x14ac:dyDescent="0.2">
      <c r="A12" s="36" t="s">
        <v>37</v>
      </c>
      <c r="B12" s="37">
        <v>4.6399999999999997</v>
      </c>
      <c r="C12" s="43">
        <v>-13.59</v>
      </c>
      <c r="D12" s="37">
        <v>84.63</v>
      </c>
      <c r="E12" s="44">
        <v>2.2200000000000002</v>
      </c>
    </row>
    <row r="13" spans="1:5" x14ac:dyDescent="0.2">
      <c r="A13" s="46" t="s">
        <v>31</v>
      </c>
      <c r="B13" s="47">
        <v>1.62</v>
      </c>
      <c r="C13" s="48">
        <v>-65.09</v>
      </c>
      <c r="D13" s="47">
        <v>85.43</v>
      </c>
      <c r="E13" s="49">
        <v>0.95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92468-24DD-9347-8679-C463B44CFA0A}">
  <dimension ref="A1:D421"/>
  <sheetViews>
    <sheetView zoomScale="141" workbookViewId="0">
      <selection activeCell="B428" sqref="B428"/>
    </sheetView>
  </sheetViews>
  <sheetFormatPr baseColWidth="10" defaultRowHeight="16" x14ac:dyDescent="0.2"/>
  <cols>
    <col min="1" max="1" width="18" bestFit="1" customWidth="1"/>
    <col min="2" max="2" width="33.5" customWidth="1"/>
    <col min="3" max="3" width="28.83203125" customWidth="1"/>
    <col min="4" max="4" width="28.6640625" customWidth="1"/>
  </cols>
  <sheetData>
    <row r="1" spans="1:4" x14ac:dyDescent="0.2">
      <c r="A1" s="16" t="s">
        <v>17</v>
      </c>
      <c r="B1" s="17" t="s">
        <v>107</v>
      </c>
      <c r="C1" s="17" t="s">
        <v>108</v>
      </c>
      <c r="D1" s="18" t="s">
        <v>109</v>
      </c>
    </row>
    <row r="2" spans="1:4" x14ac:dyDescent="0.2">
      <c r="A2" s="12" t="s">
        <v>21</v>
      </c>
      <c r="B2" s="8" t="s">
        <v>72</v>
      </c>
      <c r="C2" s="9">
        <v>121767</v>
      </c>
      <c r="D2" s="14">
        <v>130340</v>
      </c>
    </row>
    <row r="3" spans="1:4" x14ac:dyDescent="0.2">
      <c r="A3" s="13" t="s">
        <v>21</v>
      </c>
      <c r="B3" s="10" t="s">
        <v>73</v>
      </c>
      <c r="C3" s="11">
        <v>7496</v>
      </c>
      <c r="D3" s="15">
        <v>7759</v>
      </c>
    </row>
    <row r="4" spans="1:4" x14ac:dyDescent="0.2">
      <c r="A4" s="12" t="s">
        <v>21</v>
      </c>
      <c r="B4" s="8" t="s">
        <v>74</v>
      </c>
      <c r="C4" s="9">
        <v>47274</v>
      </c>
      <c r="D4" s="14">
        <v>47288</v>
      </c>
    </row>
    <row r="5" spans="1:4" x14ac:dyDescent="0.2">
      <c r="A5" s="13" t="s">
        <v>21</v>
      </c>
      <c r="B5" s="10" t="s">
        <v>75</v>
      </c>
      <c r="C5" s="11">
        <v>90420</v>
      </c>
      <c r="D5" s="15">
        <v>88673</v>
      </c>
    </row>
    <row r="6" spans="1:4" x14ac:dyDescent="0.2">
      <c r="A6" s="12" t="s">
        <v>21</v>
      </c>
      <c r="B6" s="8" t="s">
        <v>76</v>
      </c>
      <c r="C6" s="9">
        <v>55861</v>
      </c>
      <c r="D6" s="14">
        <v>55125</v>
      </c>
    </row>
    <row r="7" spans="1:4" x14ac:dyDescent="0.2">
      <c r="A7" s="13" t="s">
        <v>21</v>
      </c>
      <c r="B7" s="10" t="s">
        <v>77</v>
      </c>
      <c r="C7" s="11">
        <v>12502</v>
      </c>
      <c r="D7" s="15">
        <v>11661</v>
      </c>
    </row>
    <row r="8" spans="1:4" x14ac:dyDescent="0.2">
      <c r="A8" s="12" t="s">
        <v>21</v>
      </c>
      <c r="B8" s="8" t="s">
        <v>78</v>
      </c>
      <c r="C8" s="9">
        <v>187101</v>
      </c>
      <c r="D8" s="14">
        <v>203781</v>
      </c>
    </row>
    <row r="9" spans="1:4" x14ac:dyDescent="0.2">
      <c r="A9" s="13" t="s">
        <v>21</v>
      </c>
      <c r="B9" s="10" t="s">
        <v>79</v>
      </c>
      <c r="C9" s="11">
        <v>80445</v>
      </c>
      <c r="D9" s="15">
        <v>89983</v>
      </c>
    </row>
    <row r="10" spans="1:4" x14ac:dyDescent="0.2">
      <c r="A10" s="12" t="s">
        <v>21</v>
      </c>
      <c r="B10" s="8" t="s">
        <v>80</v>
      </c>
      <c r="C10" s="9">
        <v>21871</v>
      </c>
      <c r="D10" s="14">
        <v>20329</v>
      </c>
    </row>
    <row r="11" spans="1:4" x14ac:dyDescent="0.2">
      <c r="A11" s="13" t="s">
        <v>21</v>
      </c>
      <c r="B11" s="10" t="s">
        <v>81</v>
      </c>
      <c r="C11" s="11">
        <v>40033</v>
      </c>
      <c r="D11" s="15">
        <v>41861</v>
      </c>
    </row>
    <row r="12" spans="1:4" x14ac:dyDescent="0.2">
      <c r="A12" s="12" t="s">
        <v>21</v>
      </c>
      <c r="B12" s="8" t="s">
        <v>82</v>
      </c>
      <c r="C12" s="9">
        <v>187606</v>
      </c>
      <c r="D12" s="14">
        <v>209509</v>
      </c>
    </row>
    <row r="13" spans="1:4" x14ac:dyDescent="0.2">
      <c r="A13" s="13" t="s">
        <v>21</v>
      </c>
      <c r="B13" s="10" t="s">
        <v>83</v>
      </c>
      <c r="C13" s="11">
        <v>106991</v>
      </c>
      <c r="D13" s="15">
        <v>102605</v>
      </c>
    </row>
    <row r="14" spans="1:4" x14ac:dyDescent="0.2">
      <c r="A14" s="12" t="s">
        <v>21</v>
      </c>
      <c r="B14" s="8" t="s">
        <v>84</v>
      </c>
      <c r="C14" s="9">
        <v>112794</v>
      </c>
      <c r="D14" s="14">
        <v>120625</v>
      </c>
    </row>
    <row r="15" spans="1:4" x14ac:dyDescent="0.2">
      <c r="A15" s="13" t="s">
        <v>21</v>
      </c>
      <c r="B15" s="10" t="s">
        <v>85</v>
      </c>
      <c r="C15" s="11">
        <v>332182</v>
      </c>
      <c r="D15" s="15">
        <v>346022</v>
      </c>
    </row>
    <row r="16" spans="1:4" x14ac:dyDescent="0.2">
      <c r="A16" s="12" t="s">
        <v>21</v>
      </c>
      <c r="B16" s="8" t="s">
        <v>86</v>
      </c>
      <c r="C16" s="9">
        <v>6900</v>
      </c>
      <c r="D16" s="14">
        <v>7584</v>
      </c>
    </row>
    <row r="17" spans="1:4" x14ac:dyDescent="0.2">
      <c r="A17" s="13" t="s">
        <v>21</v>
      </c>
      <c r="B17" s="10" t="s">
        <v>87</v>
      </c>
      <c r="C17" s="11">
        <v>9432</v>
      </c>
      <c r="D17" s="15">
        <v>9076</v>
      </c>
    </row>
    <row r="18" spans="1:4" x14ac:dyDescent="0.2">
      <c r="A18" s="12" t="s">
        <v>21</v>
      </c>
      <c r="B18" s="8" t="s">
        <v>88</v>
      </c>
      <c r="C18" s="9">
        <v>5156</v>
      </c>
      <c r="D18" s="14">
        <v>5026</v>
      </c>
    </row>
    <row r="19" spans="1:4" x14ac:dyDescent="0.2">
      <c r="A19" s="13" t="s">
        <v>21</v>
      </c>
      <c r="B19" s="10" t="s">
        <v>89</v>
      </c>
      <c r="C19" s="11">
        <v>5814</v>
      </c>
      <c r="D19" s="15">
        <v>5737</v>
      </c>
    </row>
    <row r="20" spans="1:4" x14ac:dyDescent="0.2">
      <c r="A20" s="12" t="s">
        <v>21</v>
      </c>
      <c r="B20" s="8" t="s">
        <v>90</v>
      </c>
      <c r="C20" s="9">
        <v>81007</v>
      </c>
      <c r="D20" s="14">
        <v>80886</v>
      </c>
    </row>
    <row r="21" spans="1:4" x14ac:dyDescent="0.2">
      <c r="A21" s="13" t="s">
        <v>21</v>
      </c>
      <c r="B21" s="10" t="s">
        <v>91</v>
      </c>
      <c r="C21" s="11">
        <v>78132</v>
      </c>
      <c r="D21" s="15">
        <v>79888</v>
      </c>
    </row>
    <row r="22" spans="1:4" x14ac:dyDescent="0.2">
      <c r="A22" s="12" t="s">
        <v>21</v>
      </c>
      <c r="B22" s="8" t="s">
        <v>92</v>
      </c>
      <c r="C22" s="9">
        <v>126927</v>
      </c>
      <c r="D22" s="14">
        <v>126459</v>
      </c>
    </row>
    <row r="23" spans="1:4" x14ac:dyDescent="0.2">
      <c r="A23" s="13" t="s">
        <v>21</v>
      </c>
      <c r="B23" s="10" t="s">
        <v>93</v>
      </c>
      <c r="C23" s="11">
        <v>4063</v>
      </c>
      <c r="D23" s="15">
        <v>4285</v>
      </c>
    </row>
    <row r="24" spans="1:4" x14ac:dyDescent="0.2">
      <c r="A24" s="12" t="s">
        <v>21</v>
      </c>
      <c r="B24" s="8" t="s">
        <v>94</v>
      </c>
      <c r="C24" s="9">
        <v>208687</v>
      </c>
      <c r="D24" s="14">
        <v>208215</v>
      </c>
    </row>
    <row r="25" spans="1:4" x14ac:dyDescent="0.2">
      <c r="A25" s="13" t="s">
        <v>21</v>
      </c>
      <c r="B25" s="10" t="s">
        <v>95</v>
      </c>
      <c r="C25" s="11">
        <v>124009</v>
      </c>
      <c r="D25" s="15">
        <v>116397</v>
      </c>
    </row>
    <row r="26" spans="1:4" x14ac:dyDescent="0.2">
      <c r="A26" s="12" t="s">
        <v>21</v>
      </c>
      <c r="B26" s="8" t="s">
        <v>96</v>
      </c>
      <c r="C26" s="9">
        <v>8495</v>
      </c>
      <c r="D26" s="14">
        <v>8690</v>
      </c>
    </row>
    <row r="27" spans="1:4" x14ac:dyDescent="0.2">
      <c r="A27" s="13" t="s">
        <v>21</v>
      </c>
      <c r="B27" s="10" t="s">
        <v>97</v>
      </c>
      <c r="C27" s="11">
        <v>246127</v>
      </c>
      <c r="D27" s="15">
        <v>246148</v>
      </c>
    </row>
    <row r="28" spans="1:4" x14ac:dyDescent="0.2">
      <c r="A28" s="12" t="s">
        <v>21</v>
      </c>
      <c r="B28" s="8" t="s">
        <v>98</v>
      </c>
      <c r="C28" s="9">
        <v>33049</v>
      </c>
      <c r="D28" s="14">
        <v>35851</v>
      </c>
    </row>
    <row r="29" spans="1:4" x14ac:dyDescent="0.2">
      <c r="A29" s="13" t="s">
        <v>21</v>
      </c>
      <c r="B29" s="10" t="s">
        <v>99</v>
      </c>
      <c r="C29" s="11">
        <v>148381</v>
      </c>
      <c r="D29" s="15">
        <v>152691</v>
      </c>
    </row>
    <row r="30" spans="1:4" x14ac:dyDescent="0.2">
      <c r="A30" s="12" t="s">
        <v>21</v>
      </c>
      <c r="B30" s="8" t="s">
        <v>100</v>
      </c>
      <c r="C30" s="9">
        <v>2115</v>
      </c>
      <c r="D30" s="14">
        <v>2154</v>
      </c>
    </row>
    <row r="31" spans="1:4" x14ac:dyDescent="0.2">
      <c r="A31" s="13" t="s">
        <v>21</v>
      </c>
      <c r="B31" s="10" t="s">
        <v>101</v>
      </c>
      <c r="C31" s="11">
        <v>4473</v>
      </c>
      <c r="D31" s="15">
        <v>4522</v>
      </c>
    </row>
    <row r="32" spans="1:4" x14ac:dyDescent="0.2">
      <c r="A32" s="12" t="s">
        <v>21</v>
      </c>
      <c r="B32" s="8" t="s">
        <v>102</v>
      </c>
      <c r="C32" s="9">
        <v>2544</v>
      </c>
      <c r="D32" s="14">
        <v>2558</v>
      </c>
    </row>
    <row r="33" spans="1:4" x14ac:dyDescent="0.2">
      <c r="A33" s="13" t="s">
        <v>21</v>
      </c>
      <c r="B33" s="10" t="s">
        <v>103</v>
      </c>
      <c r="C33" s="11">
        <v>56877</v>
      </c>
      <c r="D33" s="15">
        <v>54525</v>
      </c>
    </row>
    <row r="34" spans="1:4" x14ac:dyDescent="0.2">
      <c r="A34" s="12" t="s">
        <v>21</v>
      </c>
      <c r="B34" s="8" t="s">
        <v>104</v>
      </c>
      <c r="C34" s="9">
        <v>35813</v>
      </c>
      <c r="D34" s="14">
        <v>36451</v>
      </c>
    </row>
    <row r="35" spans="1:4" x14ac:dyDescent="0.2">
      <c r="A35" s="13" t="s">
        <v>21</v>
      </c>
      <c r="B35" s="10" t="s">
        <v>105</v>
      </c>
      <c r="C35" s="11">
        <v>3587</v>
      </c>
      <c r="D35" s="15">
        <v>3873</v>
      </c>
    </row>
    <row r="36" spans="1:4" x14ac:dyDescent="0.2">
      <c r="A36" s="12" t="s">
        <v>21</v>
      </c>
      <c r="B36" s="8" t="s">
        <v>106</v>
      </c>
      <c r="C36" s="9">
        <v>5489</v>
      </c>
      <c r="D36" s="14">
        <v>5833</v>
      </c>
    </row>
    <row r="37" spans="1:4" x14ac:dyDescent="0.2">
      <c r="A37" s="13" t="s">
        <v>22</v>
      </c>
      <c r="B37" s="10" t="s">
        <v>72</v>
      </c>
      <c r="C37" s="11">
        <v>127809</v>
      </c>
      <c r="D37" s="15">
        <v>125617</v>
      </c>
    </row>
    <row r="38" spans="1:4" x14ac:dyDescent="0.2">
      <c r="A38" s="12" t="s">
        <v>22</v>
      </c>
      <c r="B38" s="8" t="s">
        <v>73</v>
      </c>
      <c r="C38" s="9">
        <v>9168</v>
      </c>
      <c r="D38" s="14">
        <v>9643</v>
      </c>
    </row>
    <row r="39" spans="1:4" x14ac:dyDescent="0.2">
      <c r="A39" s="13" t="s">
        <v>22</v>
      </c>
      <c r="B39" s="10" t="s">
        <v>74</v>
      </c>
      <c r="C39" s="11">
        <v>48920</v>
      </c>
      <c r="D39" s="15">
        <v>50098</v>
      </c>
    </row>
    <row r="40" spans="1:4" x14ac:dyDescent="0.2">
      <c r="A40" s="12" t="s">
        <v>22</v>
      </c>
      <c r="B40" s="8" t="s">
        <v>75</v>
      </c>
      <c r="C40" s="9">
        <v>100109</v>
      </c>
      <c r="D40" s="14">
        <v>98119</v>
      </c>
    </row>
    <row r="41" spans="1:4" x14ac:dyDescent="0.2">
      <c r="A41" s="13" t="s">
        <v>22</v>
      </c>
      <c r="B41" s="10" t="s">
        <v>76</v>
      </c>
      <c r="C41" s="11">
        <v>60011</v>
      </c>
      <c r="D41" s="15">
        <v>56748</v>
      </c>
    </row>
    <row r="42" spans="1:4" x14ac:dyDescent="0.2">
      <c r="A42" s="12" t="s">
        <v>22</v>
      </c>
      <c r="B42" s="8" t="s">
        <v>77</v>
      </c>
      <c r="C42" s="9">
        <v>12808</v>
      </c>
      <c r="D42" s="14">
        <v>11909</v>
      </c>
    </row>
    <row r="43" spans="1:4" x14ac:dyDescent="0.2">
      <c r="A43" s="13" t="s">
        <v>22</v>
      </c>
      <c r="B43" s="10" t="s">
        <v>78</v>
      </c>
      <c r="C43" s="11">
        <v>191216</v>
      </c>
      <c r="D43" s="15">
        <v>191888</v>
      </c>
    </row>
    <row r="44" spans="1:4" x14ac:dyDescent="0.2">
      <c r="A44" s="12" t="s">
        <v>22</v>
      </c>
      <c r="B44" s="8" t="s">
        <v>79</v>
      </c>
      <c r="C44" s="9">
        <v>89667</v>
      </c>
      <c r="D44" s="14">
        <v>83546</v>
      </c>
    </row>
    <row r="45" spans="1:4" x14ac:dyDescent="0.2">
      <c r="A45" s="13" t="s">
        <v>22</v>
      </c>
      <c r="B45" s="10" t="s">
        <v>80</v>
      </c>
      <c r="C45" s="11">
        <v>24373</v>
      </c>
      <c r="D45" s="15">
        <v>26072</v>
      </c>
    </row>
    <row r="46" spans="1:4" x14ac:dyDescent="0.2">
      <c r="A46" s="12" t="s">
        <v>22</v>
      </c>
      <c r="B46" s="8" t="s">
        <v>81</v>
      </c>
      <c r="C46" s="9">
        <v>45303</v>
      </c>
      <c r="D46" s="14">
        <v>48479</v>
      </c>
    </row>
    <row r="47" spans="1:4" x14ac:dyDescent="0.2">
      <c r="A47" s="13" t="s">
        <v>22</v>
      </c>
      <c r="B47" s="10" t="s">
        <v>82</v>
      </c>
      <c r="C47" s="11">
        <v>209071</v>
      </c>
      <c r="D47" s="15">
        <v>229426</v>
      </c>
    </row>
    <row r="48" spans="1:4" x14ac:dyDescent="0.2">
      <c r="A48" s="12" t="s">
        <v>22</v>
      </c>
      <c r="B48" s="8" t="s">
        <v>83</v>
      </c>
      <c r="C48" s="9">
        <v>122249</v>
      </c>
      <c r="D48" s="14">
        <v>129090</v>
      </c>
    </row>
    <row r="49" spans="1:4" x14ac:dyDescent="0.2">
      <c r="A49" s="13" t="s">
        <v>22</v>
      </c>
      <c r="B49" s="10" t="s">
        <v>84</v>
      </c>
      <c r="C49" s="11">
        <v>116213</v>
      </c>
      <c r="D49" s="15">
        <v>119139</v>
      </c>
    </row>
    <row r="50" spans="1:4" x14ac:dyDescent="0.2">
      <c r="A50" s="12" t="s">
        <v>22</v>
      </c>
      <c r="B50" s="8" t="s">
        <v>85</v>
      </c>
      <c r="C50" s="9">
        <v>344136</v>
      </c>
      <c r="D50" s="14">
        <v>329275</v>
      </c>
    </row>
    <row r="51" spans="1:4" x14ac:dyDescent="0.2">
      <c r="A51" s="13" t="s">
        <v>22</v>
      </c>
      <c r="B51" s="10" t="s">
        <v>86</v>
      </c>
      <c r="C51" s="11">
        <v>7619</v>
      </c>
      <c r="D51" s="15">
        <v>7198</v>
      </c>
    </row>
    <row r="52" spans="1:4" x14ac:dyDescent="0.2">
      <c r="A52" s="12" t="s">
        <v>22</v>
      </c>
      <c r="B52" s="8" t="s">
        <v>87</v>
      </c>
      <c r="C52" s="9">
        <v>10260</v>
      </c>
      <c r="D52" s="14">
        <v>10064</v>
      </c>
    </row>
    <row r="53" spans="1:4" x14ac:dyDescent="0.2">
      <c r="A53" s="13" t="s">
        <v>22</v>
      </c>
      <c r="B53" s="10" t="s">
        <v>88</v>
      </c>
      <c r="C53" s="11">
        <v>5637</v>
      </c>
      <c r="D53" s="15">
        <v>5588</v>
      </c>
    </row>
    <row r="54" spans="1:4" x14ac:dyDescent="0.2">
      <c r="A54" s="12" t="s">
        <v>22</v>
      </c>
      <c r="B54" s="8" t="s">
        <v>89</v>
      </c>
      <c r="C54" s="9">
        <v>5463</v>
      </c>
      <c r="D54" s="14">
        <v>5432</v>
      </c>
    </row>
    <row r="55" spans="1:4" x14ac:dyDescent="0.2">
      <c r="A55" s="13" t="s">
        <v>22</v>
      </c>
      <c r="B55" s="10" t="s">
        <v>90</v>
      </c>
      <c r="C55" s="11">
        <v>85794</v>
      </c>
      <c r="D55" s="15">
        <v>83126</v>
      </c>
    </row>
    <row r="56" spans="1:4" x14ac:dyDescent="0.2">
      <c r="A56" s="12" t="s">
        <v>22</v>
      </c>
      <c r="B56" s="8" t="s">
        <v>91</v>
      </c>
      <c r="C56" s="9">
        <v>82963</v>
      </c>
      <c r="D56" s="14">
        <v>90640</v>
      </c>
    </row>
    <row r="57" spans="1:4" x14ac:dyDescent="0.2">
      <c r="A57" s="13" t="s">
        <v>22</v>
      </c>
      <c r="B57" s="10" t="s">
        <v>92</v>
      </c>
      <c r="C57" s="11">
        <v>146317</v>
      </c>
      <c r="D57" s="15">
        <v>135859</v>
      </c>
    </row>
    <row r="58" spans="1:4" x14ac:dyDescent="0.2">
      <c r="A58" s="12" t="s">
        <v>22</v>
      </c>
      <c r="B58" s="8" t="s">
        <v>93</v>
      </c>
      <c r="C58" s="9">
        <v>4662</v>
      </c>
      <c r="D58" s="14">
        <v>5076</v>
      </c>
    </row>
    <row r="59" spans="1:4" x14ac:dyDescent="0.2">
      <c r="A59" s="13" t="s">
        <v>22</v>
      </c>
      <c r="B59" s="10" t="s">
        <v>94</v>
      </c>
      <c r="C59" s="11">
        <v>211285</v>
      </c>
      <c r="D59" s="15">
        <v>233218</v>
      </c>
    </row>
    <row r="60" spans="1:4" x14ac:dyDescent="0.2">
      <c r="A60" s="12" t="s">
        <v>22</v>
      </c>
      <c r="B60" s="8" t="s">
        <v>95</v>
      </c>
      <c r="C60" s="9">
        <v>128243</v>
      </c>
      <c r="D60" s="14">
        <v>137870</v>
      </c>
    </row>
    <row r="61" spans="1:4" x14ac:dyDescent="0.2">
      <c r="A61" s="13" t="s">
        <v>22</v>
      </c>
      <c r="B61" s="10" t="s">
        <v>96</v>
      </c>
      <c r="C61" s="11">
        <v>9372</v>
      </c>
      <c r="D61" s="15">
        <v>9698</v>
      </c>
    </row>
    <row r="62" spans="1:4" x14ac:dyDescent="0.2">
      <c r="A62" s="12" t="s">
        <v>22</v>
      </c>
      <c r="B62" s="8" t="s">
        <v>97</v>
      </c>
      <c r="C62" s="9">
        <v>271686</v>
      </c>
      <c r="D62" s="14">
        <v>282170</v>
      </c>
    </row>
    <row r="63" spans="1:4" x14ac:dyDescent="0.2">
      <c r="A63" s="13" t="s">
        <v>22</v>
      </c>
      <c r="B63" s="10" t="s">
        <v>98</v>
      </c>
      <c r="C63" s="11">
        <v>35634</v>
      </c>
      <c r="D63" s="15">
        <v>36680</v>
      </c>
    </row>
    <row r="64" spans="1:4" x14ac:dyDescent="0.2">
      <c r="A64" s="12" t="s">
        <v>22</v>
      </c>
      <c r="B64" s="8" t="s">
        <v>99</v>
      </c>
      <c r="C64" s="9">
        <v>158578</v>
      </c>
      <c r="D64" s="14">
        <v>156136</v>
      </c>
    </row>
    <row r="65" spans="1:4" x14ac:dyDescent="0.2">
      <c r="A65" s="13" t="s">
        <v>22</v>
      </c>
      <c r="B65" s="10" t="s">
        <v>100</v>
      </c>
      <c r="C65" s="11">
        <v>2784</v>
      </c>
      <c r="D65" s="15">
        <v>2894</v>
      </c>
    </row>
    <row r="66" spans="1:4" x14ac:dyDescent="0.2">
      <c r="A66" s="12" t="s">
        <v>22</v>
      </c>
      <c r="B66" s="8" t="s">
        <v>101</v>
      </c>
      <c r="C66" s="9">
        <v>4754</v>
      </c>
      <c r="D66" s="14">
        <v>5033</v>
      </c>
    </row>
    <row r="67" spans="1:4" x14ac:dyDescent="0.2">
      <c r="A67" s="13" t="s">
        <v>22</v>
      </c>
      <c r="B67" s="10" t="s">
        <v>102</v>
      </c>
      <c r="C67" s="11">
        <v>3401</v>
      </c>
      <c r="D67" s="15">
        <v>3349</v>
      </c>
    </row>
    <row r="68" spans="1:4" x14ac:dyDescent="0.2">
      <c r="A68" s="12" t="s">
        <v>22</v>
      </c>
      <c r="B68" s="8" t="s">
        <v>103</v>
      </c>
      <c r="C68" s="9">
        <v>60793</v>
      </c>
      <c r="D68" s="14">
        <v>60044</v>
      </c>
    </row>
    <row r="69" spans="1:4" x14ac:dyDescent="0.2">
      <c r="A69" s="13" t="s">
        <v>22</v>
      </c>
      <c r="B69" s="10" t="s">
        <v>104</v>
      </c>
      <c r="C69" s="11">
        <v>37136</v>
      </c>
      <c r="D69" s="15">
        <v>38999</v>
      </c>
    </row>
    <row r="70" spans="1:4" x14ac:dyDescent="0.2">
      <c r="A70" s="12" t="s">
        <v>22</v>
      </c>
      <c r="B70" s="8" t="s">
        <v>105</v>
      </c>
      <c r="C70" s="9">
        <v>3434</v>
      </c>
      <c r="D70" s="14">
        <v>3609</v>
      </c>
    </row>
    <row r="71" spans="1:4" x14ac:dyDescent="0.2">
      <c r="A71" s="13" t="s">
        <v>22</v>
      </c>
      <c r="B71" s="10" t="s">
        <v>106</v>
      </c>
      <c r="C71" s="11">
        <v>6041</v>
      </c>
      <c r="D71" s="15">
        <v>6392</v>
      </c>
    </row>
    <row r="72" spans="1:4" x14ac:dyDescent="0.2">
      <c r="A72" s="12" t="s">
        <v>23</v>
      </c>
      <c r="B72" s="8" t="s">
        <v>72</v>
      </c>
      <c r="C72" s="9">
        <v>140467</v>
      </c>
      <c r="D72" s="14">
        <v>143629</v>
      </c>
    </row>
    <row r="73" spans="1:4" x14ac:dyDescent="0.2">
      <c r="A73" s="13" t="s">
        <v>23</v>
      </c>
      <c r="B73" s="10" t="s">
        <v>73</v>
      </c>
      <c r="C73" s="11">
        <v>9356</v>
      </c>
      <c r="D73" s="15">
        <v>9790</v>
      </c>
    </row>
    <row r="74" spans="1:4" x14ac:dyDescent="0.2">
      <c r="A74" s="12" t="s">
        <v>23</v>
      </c>
      <c r="B74" s="8" t="s">
        <v>74</v>
      </c>
      <c r="C74" s="9">
        <v>54059</v>
      </c>
      <c r="D74" s="14">
        <v>54697</v>
      </c>
    </row>
    <row r="75" spans="1:4" x14ac:dyDescent="0.2">
      <c r="A75" s="13" t="s">
        <v>23</v>
      </c>
      <c r="B75" s="10" t="s">
        <v>75</v>
      </c>
      <c r="C75" s="11">
        <v>104646</v>
      </c>
      <c r="D75" s="15">
        <v>108925</v>
      </c>
    </row>
    <row r="76" spans="1:4" x14ac:dyDescent="0.2">
      <c r="A76" s="12" t="s">
        <v>23</v>
      </c>
      <c r="B76" s="8" t="s">
        <v>76</v>
      </c>
      <c r="C76" s="9">
        <v>62443</v>
      </c>
      <c r="D76" s="14">
        <v>69781</v>
      </c>
    </row>
    <row r="77" spans="1:4" x14ac:dyDescent="0.2">
      <c r="A77" s="13" t="s">
        <v>23</v>
      </c>
      <c r="B77" s="10" t="s">
        <v>77</v>
      </c>
      <c r="C77" s="11">
        <v>13649</v>
      </c>
      <c r="D77" s="15">
        <v>15142</v>
      </c>
    </row>
    <row r="78" spans="1:4" x14ac:dyDescent="0.2">
      <c r="A78" s="12" t="s">
        <v>23</v>
      </c>
      <c r="B78" s="8" t="s">
        <v>78</v>
      </c>
      <c r="C78" s="9">
        <v>209637</v>
      </c>
      <c r="D78" s="14">
        <v>195535</v>
      </c>
    </row>
    <row r="79" spans="1:4" x14ac:dyDescent="0.2">
      <c r="A79" s="13" t="s">
        <v>23</v>
      </c>
      <c r="B79" s="10" t="s">
        <v>79</v>
      </c>
      <c r="C79" s="11">
        <v>95767</v>
      </c>
      <c r="D79" s="15">
        <v>92765</v>
      </c>
    </row>
    <row r="80" spans="1:4" x14ac:dyDescent="0.2">
      <c r="A80" s="12" t="s">
        <v>23</v>
      </c>
      <c r="B80" s="8" t="s">
        <v>80</v>
      </c>
      <c r="C80" s="9">
        <v>25872</v>
      </c>
      <c r="D80" s="14">
        <v>26833</v>
      </c>
    </row>
    <row r="81" spans="1:4" x14ac:dyDescent="0.2">
      <c r="A81" s="13" t="s">
        <v>23</v>
      </c>
      <c r="B81" s="10" t="s">
        <v>81</v>
      </c>
      <c r="C81" s="11">
        <v>46223</v>
      </c>
      <c r="D81" s="15">
        <v>43156</v>
      </c>
    </row>
    <row r="82" spans="1:4" x14ac:dyDescent="0.2">
      <c r="A82" s="12" t="s">
        <v>23</v>
      </c>
      <c r="B82" s="8" t="s">
        <v>82</v>
      </c>
      <c r="C82" s="9">
        <v>218130</v>
      </c>
      <c r="D82" s="14">
        <v>225352</v>
      </c>
    </row>
    <row r="83" spans="1:4" x14ac:dyDescent="0.2">
      <c r="A83" s="13" t="s">
        <v>23</v>
      </c>
      <c r="B83" s="10" t="s">
        <v>83</v>
      </c>
      <c r="C83" s="11">
        <v>125031</v>
      </c>
      <c r="D83" s="15">
        <v>122271</v>
      </c>
    </row>
    <row r="84" spans="1:4" x14ac:dyDescent="0.2">
      <c r="A84" s="12" t="s">
        <v>23</v>
      </c>
      <c r="B84" s="8" t="s">
        <v>84</v>
      </c>
      <c r="C84" s="9">
        <v>126615</v>
      </c>
      <c r="D84" s="14">
        <v>133380</v>
      </c>
    </row>
    <row r="85" spans="1:4" x14ac:dyDescent="0.2">
      <c r="A85" s="13" t="s">
        <v>23</v>
      </c>
      <c r="B85" s="10" t="s">
        <v>85</v>
      </c>
      <c r="C85" s="11">
        <v>380980</v>
      </c>
      <c r="D85" s="15">
        <v>383488</v>
      </c>
    </row>
    <row r="86" spans="1:4" x14ac:dyDescent="0.2">
      <c r="A86" s="12" t="s">
        <v>23</v>
      </c>
      <c r="B86" s="8" t="s">
        <v>86</v>
      </c>
      <c r="C86" s="9">
        <v>7839</v>
      </c>
      <c r="D86" s="14">
        <v>8463</v>
      </c>
    </row>
    <row r="87" spans="1:4" x14ac:dyDescent="0.2">
      <c r="A87" s="13" t="s">
        <v>23</v>
      </c>
      <c r="B87" s="10" t="s">
        <v>87</v>
      </c>
      <c r="C87" s="11">
        <v>10829</v>
      </c>
      <c r="D87" s="15">
        <v>10081</v>
      </c>
    </row>
    <row r="88" spans="1:4" x14ac:dyDescent="0.2">
      <c r="A88" s="12" t="s">
        <v>23</v>
      </c>
      <c r="B88" s="8" t="s">
        <v>88</v>
      </c>
      <c r="C88" s="9">
        <v>6367</v>
      </c>
      <c r="D88" s="14">
        <v>6315</v>
      </c>
    </row>
    <row r="89" spans="1:4" x14ac:dyDescent="0.2">
      <c r="A89" s="13" t="s">
        <v>23</v>
      </c>
      <c r="B89" s="10" t="s">
        <v>89</v>
      </c>
      <c r="C89" s="11">
        <v>6482</v>
      </c>
      <c r="D89" s="15">
        <v>6915</v>
      </c>
    </row>
    <row r="90" spans="1:4" x14ac:dyDescent="0.2">
      <c r="A90" s="12" t="s">
        <v>23</v>
      </c>
      <c r="B90" s="8" t="s">
        <v>90</v>
      </c>
      <c r="C90" s="9">
        <v>89931</v>
      </c>
      <c r="D90" s="14">
        <v>94100</v>
      </c>
    </row>
    <row r="91" spans="1:4" x14ac:dyDescent="0.2">
      <c r="A91" s="13" t="s">
        <v>23</v>
      </c>
      <c r="B91" s="10" t="s">
        <v>91</v>
      </c>
      <c r="C91" s="11">
        <v>86817</v>
      </c>
      <c r="D91" s="15">
        <v>80500</v>
      </c>
    </row>
    <row r="92" spans="1:4" x14ac:dyDescent="0.2">
      <c r="A92" s="12" t="s">
        <v>23</v>
      </c>
      <c r="B92" s="8" t="s">
        <v>92</v>
      </c>
      <c r="C92" s="9">
        <v>151097</v>
      </c>
      <c r="D92" s="14">
        <v>143367</v>
      </c>
    </row>
    <row r="93" spans="1:4" x14ac:dyDescent="0.2">
      <c r="A93" s="13" t="s">
        <v>23</v>
      </c>
      <c r="B93" s="10" t="s">
        <v>93</v>
      </c>
      <c r="C93" s="11">
        <v>5108</v>
      </c>
      <c r="D93" s="15">
        <v>5658</v>
      </c>
    </row>
    <row r="94" spans="1:4" x14ac:dyDescent="0.2">
      <c r="A94" s="12" t="s">
        <v>23</v>
      </c>
      <c r="B94" s="8" t="s">
        <v>94</v>
      </c>
      <c r="C94" s="9">
        <v>228885</v>
      </c>
      <c r="D94" s="14">
        <v>249206</v>
      </c>
    </row>
    <row r="95" spans="1:4" x14ac:dyDescent="0.2">
      <c r="A95" s="13" t="s">
        <v>23</v>
      </c>
      <c r="B95" s="10" t="s">
        <v>95</v>
      </c>
      <c r="C95" s="11">
        <v>140426</v>
      </c>
      <c r="D95" s="15">
        <v>130900</v>
      </c>
    </row>
    <row r="96" spans="1:4" x14ac:dyDescent="0.2">
      <c r="A96" s="12" t="s">
        <v>23</v>
      </c>
      <c r="B96" s="8" t="s">
        <v>96</v>
      </c>
      <c r="C96" s="9">
        <v>9618</v>
      </c>
      <c r="D96" s="14">
        <v>8878</v>
      </c>
    </row>
    <row r="97" spans="1:4" x14ac:dyDescent="0.2">
      <c r="A97" s="13" t="s">
        <v>23</v>
      </c>
      <c r="B97" s="10" t="s">
        <v>97</v>
      </c>
      <c r="C97" s="11">
        <v>292690</v>
      </c>
      <c r="D97" s="15">
        <v>272882</v>
      </c>
    </row>
    <row r="98" spans="1:4" x14ac:dyDescent="0.2">
      <c r="A98" s="12" t="s">
        <v>23</v>
      </c>
      <c r="B98" s="8" t="s">
        <v>98</v>
      </c>
      <c r="C98" s="9">
        <v>38774</v>
      </c>
      <c r="D98" s="14">
        <v>40159</v>
      </c>
    </row>
    <row r="99" spans="1:4" x14ac:dyDescent="0.2">
      <c r="A99" s="13" t="s">
        <v>23</v>
      </c>
      <c r="B99" s="10" t="s">
        <v>99</v>
      </c>
      <c r="C99" s="11">
        <v>165419</v>
      </c>
      <c r="D99" s="15">
        <v>176243</v>
      </c>
    </row>
    <row r="100" spans="1:4" x14ac:dyDescent="0.2">
      <c r="A100" s="12" t="s">
        <v>23</v>
      </c>
      <c r="B100" s="8" t="s">
        <v>100</v>
      </c>
      <c r="C100" s="9">
        <v>3280</v>
      </c>
      <c r="D100" s="14">
        <v>3358</v>
      </c>
    </row>
    <row r="101" spans="1:4" x14ac:dyDescent="0.2">
      <c r="A101" s="13" t="s">
        <v>23</v>
      </c>
      <c r="B101" s="10" t="s">
        <v>101</v>
      </c>
      <c r="C101" s="11">
        <v>5491</v>
      </c>
      <c r="D101" s="15">
        <v>5696</v>
      </c>
    </row>
    <row r="102" spans="1:4" x14ac:dyDescent="0.2">
      <c r="A102" s="12" t="s">
        <v>23</v>
      </c>
      <c r="B102" s="8" t="s">
        <v>102</v>
      </c>
      <c r="C102" s="9">
        <v>3678</v>
      </c>
      <c r="D102" s="14">
        <v>3704</v>
      </c>
    </row>
    <row r="103" spans="1:4" x14ac:dyDescent="0.2">
      <c r="A103" s="13" t="s">
        <v>23</v>
      </c>
      <c r="B103" s="10" t="s">
        <v>103</v>
      </c>
      <c r="C103" s="11">
        <v>62794</v>
      </c>
      <c r="D103" s="15">
        <v>68169</v>
      </c>
    </row>
    <row r="104" spans="1:4" x14ac:dyDescent="0.2">
      <c r="A104" s="12" t="s">
        <v>23</v>
      </c>
      <c r="B104" s="8" t="s">
        <v>104</v>
      </c>
      <c r="C104" s="9">
        <v>41620</v>
      </c>
      <c r="D104" s="14">
        <v>39454</v>
      </c>
    </row>
    <row r="105" spans="1:4" x14ac:dyDescent="0.2">
      <c r="A105" s="13" t="s">
        <v>23</v>
      </c>
      <c r="B105" s="10" t="s">
        <v>105</v>
      </c>
      <c r="C105" s="11">
        <v>4447</v>
      </c>
      <c r="D105" s="15">
        <v>4223</v>
      </c>
    </row>
    <row r="106" spans="1:4" x14ac:dyDescent="0.2">
      <c r="A106" s="12" t="s">
        <v>23</v>
      </c>
      <c r="B106" s="8" t="s">
        <v>106</v>
      </c>
      <c r="C106" s="9">
        <v>7161</v>
      </c>
      <c r="D106" s="14">
        <v>7484</v>
      </c>
    </row>
    <row r="107" spans="1:4" x14ac:dyDescent="0.2">
      <c r="A107" s="13" t="s">
        <v>24</v>
      </c>
      <c r="B107" s="10" t="s">
        <v>72</v>
      </c>
      <c r="C107" s="11">
        <v>146807</v>
      </c>
      <c r="D107" s="15">
        <v>149544</v>
      </c>
    </row>
    <row r="108" spans="1:4" x14ac:dyDescent="0.2">
      <c r="A108" s="12" t="s">
        <v>24</v>
      </c>
      <c r="B108" s="8" t="s">
        <v>73</v>
      </c>
      <c r="C108" s="9">
        <v>9577</v>
      </c>
      <c r="D108" s="14">
        <v>8920</v>
      </c>
    </row>
    <row r="109" spans="1:4" x14ac:dyDescent="0.2">
      <c r="A109" s="13" t="s">
        <v>24</v>
      </c>
      <c r="B109" s="10" t="s">
        <v>74</v>
      </c>
      <c r="C109" s="11">
        <v>55465</v>
      </c>
      <c r="D109" s="15">
        <v>56411</v>
      </c>
    </row>
    <row r="110" spans="1:4" x14ac:dyDescent="0.2">
      <c r="A110" s="12" t="s">
        <v>24</v>
      </c>
      <c r="B110" s="8" t="s">
        <v>75</v>
      </c>
      <c r="C110" s="9">
        <v>111367</v>
      </c>
      <c r="D110" s="14">
        <v>105130</v>
      </c>
    </row>
    <row r="111" spans="1:4" x14ac:dyDescent="0.2">
      <c r="A111" s="13" t="s">
        <v>24</v>
      </c>
      <c r="B111" s="10" t="s">
        <v>76</v>
      </c>
      <c r="C111" s="11">
        <v>70638</v>
      </c>
      <c r="D111" s="15">
        <v>70751</v>
      </c>
    </row>
    <row r="112" spans="1:4" x14ac:dyDescent="0.2">
      <c r="A112" s="12" t="s">
        <v>24</v>
      </c>
      <c r="B112" s="8" t="s">
        <v>77</v>
      </c>
      <c r="C112" s="9">
        <v>14569</v>
      </c>
      <c r="D112" s="14">
        <v>14322</v>
      </c>
    </row>
    <row r="113" spans="1:4" x14ac:dyDescent="0.2">
      <c r="A113" s="13" t="s">
        <v>24</v>
      </c>
      <c r="B113" s="10" t="s">
        <v>78</v>
      </c>
      <c r="C113" s="11">
        <v>230788</v>
      </c>
      <c r="D113" s="15">
        <v>257876</v>
      </c>
    </row>
    <row r="114" spans="1:4" x14ac:dyDescent="0.2">
      <c r="A114" s="12" t="s">
        <v>24</v>
      </c>
      <c r="B114" s="8" t="s">
        <v>79</v>
      </c>
      <c r="C114" s="9">
        <v>102485</v>
      </c>
      <c r="D114" s="14">
        <v>99979</v>
      </c>
    </row>
    <row r="115" spans="1:4" x14ac:dyDescent="0.2">
      <c r="A115" s="13" t="s">
        <v>24</v>
      </c>
      <c r="B115" s="10" t="s">
        <v>80</v>
      </c>
      <c r="C115" s="11">
        <v>27025</v>
      </c>
      <c r="D115" s="15">
        <v>24958</v>
      </c>
    </row>
    <row r="116" spans="1:4" x14ac:dyDescent="0.2">
      <c r="A116" s="12" t="s">
        <v>24</v>
      </c>
      <c r="B116" s="8" t="s">
        <v>81</v>
      </c>
      <c r="C116" s="9">
        <v>50836</v>
      </c>
      <c r="D116" s="14">
        <v>49897</v>
      </c>
    </row>
    <row r="117" spans="1:4" x14ac:dyDescent="0.2">
      <c r="A117" s="13" t="s">
        <v>24</v>
      </c>
      <c r="B117" s="10" t="s">
        <v>82</v>
      </c>
      <c r="C117" s="11">
        <v>236098</v>
      </c>
      <c r="D117" s="15">
        <v>230769</v>
      </c>
    </row>
    <row r="118" spans="1:4" x14ac:dyDescent="0.2">
      <c r="A118" s="12" t="s">
        <v>24</v>
      </c>
      <c r="B118" s="8" t="s">
        <v>83</v>
      </c>
      <c r="C118" s="9">
        <v>134084</v>
      </c>
      <c r="D118" s="14">
        <v>141368</v>
      </c>
    </row>
    <row r="119" spans="1:4" x14ac:dyDescent="0.2">
      <c r="A119" s="13" t="s">
        <v>24</v>
      </c>
      <c r="B119" s="10" t="s">
        <v>84</v>
      </c>
      <c r="C119" s="11">
        <v>132964</v>
      </c>
      <c r="D119" s="15">
        <v>125349</v>
      </c>
    </row>
    <row r="120" spans="1:4" x14ac:dyDescent="0.2">
      <c r="A120" s="12" t="s">
        <v>24</v>
      </c>
      <c r="B120" s="8" t="s">
        <v>85</v>
      </c>
      <c r="C120" s="9">
        <v>391171</v>
      </c>
      <c r="D120" s="14">
        <v>369858</v>
      </c>
    </row>
    <row r="121" spans="1:4" x14ac:dyDescent="0.2">
      <c r="A121" s="13" t="s">
        <v>24</v>
      </c>
      <c r="B121" s="10" t="s">
        <v>86</v>
      </c>
      <c r="C121" s="11">
        <v>8676</v>
      </c>
      <c r="D121" s="15">
        <v>9293</v>
      </c>
    </row>
    <row r="122" spans="1:4" x14ac:dyDescent="0.2">
      <c r="A122" s="12" t="s">
        <v>24</v>
      </c>
      <c r="B122" s="8" t="s">
        <v>87</v>
      </c>
      <c r="C122" s="9">
        <v>10843</v>
      </c>
      <c r="D122" s="14">
        <v>11449</v>
      </c>
    </row>
    <row r="123" spans="1:4" x14ac:dyDescent="0.2">
      <c r="A123" s="13" t="s">
        <v>24</v>
      </c>
      <c r="B123" s="10" t="s">
        <v>88</v>
      </c>
      <c r="C123" s="11">
        <v>6308</v>
      </c>
      <c r="D123" s="15">
        <v>6834</v>
      </c>
    </row>
    <row r="124" spans="1:4" x14ac:dyDescent="0.2">
      <c r="A124" s="12" t="s">
        <v>24</v>
      </c>
      <c r="B124" s="8" t="s">
        <v>89</v>
      </c>
      <c r="C124" s="9">
        <v>6890</v>
      </c>
      <c r="D124" s="14">
        <v>6774</v>
      </c>
    </row>
    <row r="125" spans="1:4" x14ac:dyDescent="0.2">
      <c r="A125" s="13" t="s">
        <v>24</v>
      </c>
      <c r="B125" s="10" t="s">
        <v>90</v>
      </c>
      <c r="C125" s="11">
        <v>98910</v>
      </c>
      <c r="D125" s="15">
        <v>102247</v>
      </c>
    </row>
    <row r="126" spans="1:4" x14ac:dyDescent="0.2">
      <c r="A126" s="12" t="s">
        <v>24</v>
      </c>
      <c r="B126" s="8" t="s">
        <v>91</v>
      </c>
      <c r="C126" s="9">
        <v>91565</v>
      </c>
      <c r="D126" s="14">
        <v>88253</v>
      </c>
    </row>
    <row r="127" spans="1:4" x14ac:dyDescent="0.2">
      <c r="A127" s="13" t="s">
        <v>24</v>
      </c>
      <c r="B127" s="10" t="s">
        <v>92</v>
      </c>
      <c r="C127" s="11">
        <v>164449</v>
      </c>
      <c r="D127" s="15">
        <v>182499</v>
      </c>
    </row>
    <row r="128" spans="1:4" x14ac:dyDescent="0.2">
      <c r="A128" s="12" t="s">
        <v>24</v>
      </c>
      <c r="B128" s="8" t="s">
        <v>93</v>
      </c>
      <c r="C128" s="9">
        <v>5119</v>
      </c>
      <c r="D128" s="14">
        <v>5566</v>
      </c>
    </row>
    <row r="129" spans="1:4" x14ac:dyDescent="0.2">
      <c r="A129" s="13" t="s">
        <v>24</v>
      </c>
      <c r="B129" s="10" t="s">
        <v>94</v>
      </c>
      <c r="C129" s="11">
        <v>244771</v>
      </c>
      <c r="D129" s="15">
        <v>255460</v>
      </c>
    </row>
    <row r="130" spans="1:4" x14ac:dyDescent="0.2">
      <c r="A130" s="12" t="s">
        <v>24</v>
      </c>
      <c r="B130" s="8" t="s">
        <v>95</v>
      </c>
      <c r="C130" s="9">
        <v>153594</v>
      </c>
      <c r="D130" s="14">
        <v>163603</v>
      </c>
    </row>
    <row r="131" spans="1:4" x14ac:dyDescent="0.2">
      <c r="A131" s="13" t="s">
        <v>24</v>
      </c>
      <c r="B131" s="10" t="s">
        <v>96</v>
      </c>
      <c r="C131" s="11">
        <v>10768</v>
      </c>
      <c r="D131" s="15">
        <v>11989</v>
      </c>
    </row>
    <row r="132" spans="1:4" x14ac:dyDescent="0.2">
      <c r="A132" s="12" t="s">
        <v>24</v>
      </c>
      <c r="B132" s="8" t="s">
        <v>97</v>
      </c>
      <c r="C132" s="9">
        <v>319782</v>
      </c>
      <c r="D132" s="14">
        <v>327558</v>
      </c>
    </row>
    <row r="133" spans="1:4" x14ac:dyDescent="0.2">
      <c r="A133" s="13" t="s">
        <v>24</v>
      </c>
      <c r="B133" s="10" t="s">
        <v>98</v>
      </c>
      <c r="C133" s="11">
        <v>41046</v>
      </c>
      <c r="D133" s="15">
        <v>44894</v>
      </c>
    </row>
    <row r="134" spans="1:4" x14ac:dyDescent="0.2">
      <c r="A134" s="12" t="s">
        <v>24</v>
      </c>
      <c r="B134" s="8" t="s">
        <v>99</v>
      </c>
      <c r="C134" s="9">
        <v>176888</v>
      </c>
      <c r="D134" s="14">
        <v>172889</v>
      </c>
    </row>
    <row r="135" spans="1:4" x14ac:dyDescent="0.2">
      <c r="A135" s="13" t="s">
        <v>24</v>
      </c>
      <c r="B135" s="10" t="s">
        <v>100</v>
      </c>
      <c r="C135" s="11">
        <v>2762</v>
      </c>
      <c r="D135" s="15">
        <v>3036</v>
      </c>
    </row>
    <row r="136" spans="1:4" x14ac:dyDescent="0.2">
      <c r="A136" s="12" t="s">
        <v>24</v>
      </c>
      <c r="B136" s="8" t="s">
        <v>101</v>
      </c>
      <c r="C136" s="9">
        <v>5407</v>
      </c>
      <c r="D136" s="14">
        <v>5542</v>
      </c>
    </row>
    <row r="137" spans="1:4" x14ac:dyDescent="0.2">
      <c r="A137" s="13" t="s">
        <v>24</v>
      </c>
      <c r="B137" s="10" t="s">
        <v>102</v>
      </c>
      <c r="C137" s="11">
        <v>3778</v>
      </c>
      <c r="D137" s="15">
        <v>3849</v>
      </c>
    </row>
    <row r="138" spans="1:4" x14ac:dyDescent="0.2">
      <c r="A138" s="12" t="s">
        <v>24</v>
      </c>
      <c r="B138" s="8" t="s">
        <v>103</v>
      </c>
      <c r="C138" s="9">
        <v>69805</v>
      </c>
      <c r="D138" s="14">
        <v>65698</v>
      </c>
    </row>
    <row r="139" spans="1:4" x14ac:dyDescent="0.2">
      <c r="A139" s="13" t="s">
        <v>24</v>
      </c>
      <c r="B139" s="10" t="s">
        <v>104</v>
      </c>
      <c r="C139" s="11">
        <v>44765</v>
      </c>
      <c r="D139" s="15">
        <v>45809</v>
      </c>
    </row>
    <row r="140" spans="1:4" x14ac:dyDescent="0.2">
      <c r="A140" s="12" t="s">
        <v>24</v>
      </c>
      <c r="B140" s="8" t="s">
        <v>105</v>
      </c>
      <c r="C140" s="9">
        <v>4694</v>
      </c>
      <c r="D140" s="14">
        <v>4927</v>
      </c>
    </row>
    <row r="141" spans="1:4" x14ac:dyDescent="0.2">
      <c r="A141" s="13" t="s">
        <v>24</v>
      </c>
      <c r="B141" s="10" t="s">
        <v>106</v>
      </c>
      <c r="C141" s="11">
        <v>7872</v>
      </c>
      <c r="D141" s="15">
        <v>7847</v>
      </c>
    </row>
    <row r="142" spans="1:4" x14ac:dyDescent="0.2">
      <c r="A142" s="12" t="s">
        <v>25</v>
      </c>
      <c r="B142" s="8" t="s">
        <v>72</v>
      </c>
      <c r="C142" s="9">
        <v>157590</v>
      </c>
      <c r="D142" s="14">
        <v>146499</v>
      </c>
    </row>
    <row r="143" spans="1:4" x14ac:dyDescent="0.2">
      <c r="A143" s="13" t="s">
        <v>25</v>
      </c>
      <c r="B143" s="10" t="s">
        <v>73</v>
      </c>
      <c r="C143" s="11">
        <v>10563</v>
      </c>
      <c r="D143" s="15">
        <v>10822</v>
      </c>
    </row>
    <row r="144" spans="1:4" x14ac:dyDescent="0.2">
      <c r="A144" s="12" t="s">
        <v>25</v>
      </c>
      <c r="B144" s="8" t="s">
        <v>74</v>
      </c>
      <c r="C144" s="9">
        <v>59109</v>
      </c>
      <c r="D144" s="14">
        <v>61214</v>
      </c>
    </row>
    <row r="145" spans="1:4" x14ac:dyDescent="0.2">
      <c r="A145" s="13" t="s">
        <v>25</v>
      </c>
      <c r="B145" s="10" t="s">
        <v>75</v>
      </c>
      <c r="C145" s="11">
        <v>123022</v>
      </c>
      <c r="D145" s="15">
        <v>134349</v>
      </c>
    </row>
    <row r="146" spans="1:4" x14ac:dyDescent="0.2">
      <c r="A146" s="12" t="s">
        <v>25</v>
      </c>
      <c r="B146" s="8" t="s">
        <v>76</v>
      </c>
      <c r="C146" s="9">
        <v>73501</v>
      </c>
      <c r="D146" s="14">
        <v>75775</v>
      </c>
    </row>
    <row r="147" spans="1:4" x14ac:dyDescent="0.2">
      <c r="A147" s="13" t="s">
        <v>25</v>
      </c>
      <c r="B147" s="10" t="s">
        <v>77</v>
      </c>
      <c r="C147" s="11">
        <v>16059</v>
      </c>
      <c r="D147" s="15">
        <v>16802</v>
      </c>
    </row>
    <row r="148" spans="1:4" x14ac:dyDescent="0.2">
      <c r="A148" s="12" t="s">
        <v>25</v>
      </c>
      <c r="B148" s="8" t="s">
        <v>78</v>
      </c>
      <c r="C148" s="9">
        <v>243642</v>
      </c>
      <c r="D148" s="14">
        <v>253364</v>
      </c>
    </row>
    <row r="149" spans="1:4" x14ac:dyDescent="0.2">
      <c r="A149" s="13" t="s">
        <v>25</v>
      </c>
      <c r="B149" s="10" t="s">
        <v>79</v>
      </c>
      <c r="C149" s="11">
        <v>106601</v>
      </c>
      <c r="D149" s="15">
        <v>117837</v>
      </c>
    </row>
    <row r="150" spans="1:4" x14ac:dyDescent="0.2">
      <c r="A150" s="12" t="s">
        <v>25</v>
      </c>
      <c r="B150" s="8" t="s">
        <v>80</v>
      </c>
      <c r="C150" s="9">
        <v>29591</v>
      </c>
      <c r="D150" s="14">
        <v>30871</v>
      </c>
    </row>
    <row r="151" spans="1:4" x14ac:dyDescent="0.2">
      <c r="A151" s="13" t="s">
        <v>25</v>
      </c>
      <c r="B151" s="10" t="s">
        <v>81</v>
      </c>
      <c r="C151" s="11">
        <v>52970</v>
      </c>
      <c r="D151" s="15">
        <v>49117</v>
      </c>
    </row>
    <row r="152" spans="1:4" x14ac:dyDescent="0.2">
      <c r="A152" s="12" t="s">
        <v>25</v>
      </c>
      <c r="B152" s="8" t="s">
        <v>82</v>
      </c>
      <c r="C152" s="9">
        <v>251980</v>
      </c>
      <c r="D152" s="14">
        <v>249225</v>
      </c>
    </row>
    <row r="153" spans="1:4" x14ac:dyDescent="0.2">
      <c r="A153" s="13" t="s">
        <v>25</v>
      </c>
      <c r="B153" s="10" t="s">
        <v>83</v>
      </c>
      <c r="C153" s="11">
        <v>146798</v>
      </c>
      <c r="D153" s="15">
        <v>140060</v>
      </c>
    </row>
    <row r="154" spans="1:4" x14ac:dyDescent="0.2">
      <c r="A154" s="12" t="s">
        <v>25</v>
      </c>
      <c r="B154" s="8" t="s">
        <v>84</v>
      </c>
      <c r="C154" s="9">
        <v>146413</v>
      </c>
      <c r="D154" s="14">
        <v>148125</v>
      </c>
    </row>
    <row r="155" spans="1:4" x14ac:dyDescent="0.2">
      <c r="A155" s="13" t="s">
        <v>25</v>
      </c>
      <c r="B155" s="10" t="s">
        <v>85</v>
      </c>
      <c r="C155" s="11">
        <v>424554</v>
      </c>
      <c r="D155" s="15">
        <v>419326</v>
      </c>
    </row>
    <row r="156" spans="1:4" x14ac:dyDescent="0.2">
      <c r="A156" s="12" t="s">
        <v>25</v>
      </c>
      <c r="B156" s="8" t="s">
        <v>86</v>
      </c>
      <c r="C156" s="9">
        <v>8931</v>
      </c>
      <c r="D156" s="14">
        <v>9438</v>
      </c>
    </row>
    <row r="157" spans="1:4" x14ac:dyDescent="0.2">
      <c r="A157" s="13" t="s">
        <v>25</v>
      </c>
      <c r="B157" s="10" t="s">
        <v>87</v>
      </c>
      <c r="C157" s="11">
        <v>12386</v>
      </c>
      <c r="D157" s="15">
        <v>12167</v>
      </c>
    </row>
    <row r="158" spans="1:4" x14ac:dyDescent="0.2">
      <c r="A158" s="12" t="s">
        <v>25</v>
      </c>
      <c r="B158" s="8" t="s">
        <v>88</v>
      </c>
      <c r="C158" s="9">
        <v>6613</v>
      </c>
      <c r="D158" s="14">
        <v>6972</v>
      </c>
    </row>
    <row r="159" spans="1:4" x14ac:dyDescent="0.2">
      <c r="A159" s="13" t="s">
        <v>25</v>
      </c>
      <c r="B159" s="10" t="s">
        <v>89</v>
      </c>
      <c r="C159" s="11">
        <v>6964</v>
      </c>
      <c r="D159" s="15">
        <v>6574</v>
      </c>
    </row>
    <row r="160" spans="1:4" x14ac:dyDescent="0.2">
      <c r="A160" s="12" t="s">
        <v>25</v>
      </c>
      <c r="B160" s="8" t="s">
        <v>90</v>
      </c>
      <c r="C160" s="9">
        <v>103738</v>
      </c>
      <c r="D160" s="14">
        <v>103253</v>
      </c>
    </row>
    <row r="161" spans="1:4" x14ac:dyDescent="0.2">
      <c r="A161" s="13" t="s">
        <v>25</v>
      </c>
      <c r="B161" s="10" t="s">
        <v>91</v>
      </c>
      <c r="C161" s="11">
        <v>99931</v>
      </c>
      <c r="D161" s="15">
        <v>104617</v>
      </c>
    </row>
    <row r="162" spans="1:4" x14ac:dyDescent="0.2">
      <c r="A162" s="12" t="s">
        <v>25</v>
      </c>
      <c r="B162" s="8" t="s">
        <v>92</v>
      </c>
      <c r="C162" s="9">
        <v>172008</v>
      </c>
      <c r="D162" s="14">
        <v>170549</v>
      </c>
    </row>
    <row r="163" spans="1:4" x14ac:dyDescent="0.2">
      <c r="A163" s="13" t="s">
        <v>25</v>
      </c>
      <c r="B163" s="10" t="s">
        <v>93</v>
      </c>
      <c r="C163" s="11">
        <v>5561</v>
      </c>
      <c r="D163" s="15">
        <v>6122</v>
      </c>
    </row>
    <row r="164" spans="1:4" x14ac:dyDescent="0.2">
      <c r="A164" s="12" t="s">
        <v>25</v>
      </c>
      <c r="B164" s="8" t="s">
        <v>94</v>
      </c>
      <c r="C164" s="9">
        <v>257689</v>
      </c>
      <c r="D164" s="14">
        <v>241939</v>
      </c>
    </row>
    <row r="165" spans="1:4" x14ac:dyDescent="0.2">
      <c r="A165" s="13" t="s">
        <v>25</v>
      </c>
      <c r="B165" s="10" t="s">
        <v>95</v>
      </c>
      <c r="C165" s="11">
        <v>157262</v>
      </c>
      <c r="D165" s="15">
        <v>167120</v>
      </c>
    </row>
    <row r="166" spans="1:4" x14ac:dyDescent="0.2">
      <c r="A166" s="12" t="s">
        <v>25</v>
      </c>
      <c r="B166" s="8" t="s">
        <v>96</v>
      </c>
      <c r="C166" s="9">
        <v>10735</v>
      </c>
      <c r="D166" s="14">
        <v>10511</v>
      </c>
    </row>
    <row r="167" spans="1:4" x14ac:dyDescent="0.2">
      <c r="A167" s="13" t="s">
        <v>25</v>
      </c>
      <c r="B167" s="10" t="s">
        <v>97</v>
      </c>
      <c r="C167" s="11">
        <v>323306</v>
      </c>
      <c r="D167" s="15">
        <v>325963</v>
      </c>
    </row>
    <row r="168" spans="1:4" x14ac:dyDescent="0.2">
      <c r="A168" s="12" t="s">
        <v>25</v>
      </c>
      <c r="B168" s="8" t="s">
        <v>98</v>
      </c>
      <c r="C168" s="9">
        <v>43061</v>
      </c>
      <c r="D168" s="14">
        <v>45060</v>
      </c>
    </row>
    <row r="169" spans="1:4" x14ac:dyDescent="0.2">
      <c r="A169" s="13" t="s">
        <v>25</v>
      </c>
      <c r="B169" s="10" t="s">
        <v>99</v>
      </c>
      <c r="C169" s="11">
        <v>198580</v>
      </c>
      <c r="D169" s="15">
        <v>197488</v>
      </c>
    </row>
    <row r="170" spans="1:4" x14ac:dyDescent="0.2">
      <c r="A170" s="12" t="s">
        <v>25</v>
      </c>
      <c r="B170" s="8" t="s">
        <v>100</v>
      </c>
      <c r="C170" s="9">
        <v>3756</v>
      </c>
      <c r="D170" s="14">
        <v>3789</v>
      </c>
    </row>
    <row r="171" spans="1:4" x14ac:dyDescent="0.2">
      <c r="A171" s="13" t="s">
        <v>25</v>
      </c>
      <c r="B171" s="10" t="s">
        <v>101</v>
      </c>
      <c r="C171" s="11">
        <v>6217</v>
      </c>
      <c r="D171" s="15">
        <v>5995</v>
      </c>
    </row>
    <row r="172" spans="1:4" x14ac:dyDescent="0.2">
      <c r="A172" s="12" t="s">
        <v>25</v>
      </c>
      <c r="B172" s="8" t="s">
        <v>102</v>
      </c>
      <c r="C172" s="9">
        <v>4122</v>
      </c>
      <c r="D172" s="14">
        <v>4579</v>
      </c>
    </row>
    <row r="173" spans="1:4" x14ac:dyDescent="0.2">
      <c r="A173" s="13" t="s">
        <v>25</v>
      </c>
      <c r="B173" s="10" t="s">
        <v>103</v>
      </c>
      <c r="C173" s="11">
        <v>71364</v>
      </c>
      <c r="D173" s="15">
        <v>65921</v>
      </c>
    </row>
    <row r="174" spans="1:4" x14ac:dyDescent="0.2">
      <c r="A174" s="12" t="s">
        <v>25</v>
      </c>
      <c r="B174" s="8" t="s">
        <v>104</v>
      </c>
      <c r="C174" s="9">
        <v>46831</v>
      </c>
      <c r="D174" s="14">
        <v>43485</v>
      </c>
    </row>
    <row r="175" spans="1:4" x14ac:dyDescent="0.2">
      <c r="A175" s="13" t="s">
        <v>25</v>
      </c>
      <c r="B175" s="10" t="s">
        <v>105</v>
      </c>
      <c r="C175" s="11">
        <v>4452</v>
      </c>
      <c r="D175" s="15">
        <v>4550</v>
      </c>
    </row>
    <row r="176" spans="1:4" x14ac:dyDescent="0.2">
      <c r="A176" s="12" t="s">
        <v>25</v>
      </c>
      <c r="B176" s="8" t="s">
        <v>106</v>
      </c>
      <c r="C176" s="9">
        <v>7908</v>
      </c>
      <c r="D176" s="14">
        <v>8754</v>
      </c>
    </row>
    <row r="177" spans="1:4" x14ac:dyDescent="0.2">
      <c r="A177" s="13" t="s">
        <v>26</v>
      </c>
      <c r="B177" s="10" t="s">
        <v>72</v>
      </c>
      <c r="C177" s="11">
        <v>165960</v>
      </c>
      <c r="D177" s="15">
        <v>154238</v>
      </c>
    </row>
    <row r="178" spans="1:4" x14ac:dyDescent="0.2">
      <c r="A178" s="12" t="s">
        <v>26</v>
      </c>
      <c r="B178" s="8" t="s">
        <v>73</v>
      </c>
      <c r="C178" s="9">
        <v>11270</v>
      </c>
      <c r="D178" s="14">
        <v>11249</v>
      </c>
    </row>
    <row r="179" spans="1:4" x14ac:dyDescent="0.2">
      <c r="A179" s="13" t="s">
        <v>26</v>
      </c>
      <c r="B179" s="10" t="s">
        <v>74</v>
      </c>
      <c r="C179" s="11">
        <v>62738</v>
      </c>
      <c r="D179" s="15">
        <v>59204</v>
      </c>
    </row>
    <row r="180" spans="1:4" x14ac:dyDescent="0.2">
      <c r="A180" s="12" t="s">
        <v>26</v>
      </c>
      <c r="B180" s="8" t="s">
        <v>75</v>
      </c>
      <c r="C180" s="9">
        <v>123395</v>
      </c>
      <c r="D180" s="14">
        <v>120265</v>
      </c>
    </row>
    <row r="181" spans="1:4" x14ac:dyDescent="0.2">
      <c r="A181" s="13" t="s">
        <v>26</v>
      </c>
      <c r="B181" s="10" t="s">
        <v>76</v>
      </c>
      <c r="C181" s="11">
        <v>79462</v>
      </c>
      <c r="D181" s="15">
        <v>80983</v>
      </c>
    </row>
    <row r="182" spans="1:4" x14ac:dyDescent="0.2">
      <c r="A182" s="12" t="s">
        <v>26</v>
      </c>
      <c r="B182" s="8" t="s">
        <v>77</v>
      </c>
      <c r="C182" s="9">
        <v>17242</v>
      </c>
      <c r="D182" s="14">
        <v>17661</v>
      </c>
    </row>
    <row r="183" spans="1:4" x14ac:dyDescent="0.2">
      <c r="A183" s="13" t="s">
        <v>26</v>
      </c>
      <c r="B183" s="10" t="s">
        <v>78</v>
      </c>
      <c r="C183" s="11">
        <v>249026</v>
      </c>
      <c r="D183" s="15">
        <v>242234</v>
      </c>
    </row>
    <row r="184" spans="1:4" x14ac:dyDescent="0.2">
      <c r="A184" s="12" t="s">
        <v>26</v>
      </c>
      <c r="B184" s="8" t="s">
        <v>79</v>
      </c>
      <c r="C184" s="9">
        <v>110721</v>
      </c>
      <c r="D184" s="14">
        <v>111481</v>
      </c>
    </row>
    <row r="185" spans="1:4" x14ac:dyDescent="0.2">
      <c r="A185" s="13" t="s">
        <v>26</v>
      </c>
      <c r="B185" s="10" t="s">
        <v>80</v>
      </c>
      <c r="C185" s="11">
        <v>31156</v>
      </c>
      <c r="D185" s="15">
        <v>29178</v>
      </c>
    </row>
    <row r="186" spans="1:4" x14ac:dyDescent="0.2">
      <c r="A186" s="12" t="s">
        <v>26</v>
      </c>
      <c r="B186" s="8" t="s">
        <v>81</v>
      </c>
      <c r="C186" s="9">
        <v>57951</v>
      </c>
      <c r="D186" s="14">
        <v>56774</v>
      </c>
    </row>
    <row r="187" spans="1:4" x14ac:dyDescent="0.2">
      <c r="A187" s="13" t="s">
        <v>26</v>
      </c>
      <c r="B187" s="10" t="s">
        <v>82</v>
      </c>
      <c r="C187" s="11">
        <v>275671</v>
      </c>
      <c r="D187" s="15">
        <v>271299</v>
      </c>
    </row>
    <row r="188" spans="1:4" x14ac:dyDescent="0.2">
      <c r="A188" s="12" t="s">
        <v>26</v>
      </c>
      <c r="B188" s="8" t="s">
        <v>83</v>
      </c>
      <c r="C188" s="9">
        <v>159624</v>
      </c>
      <c r="D188" s="14">
        <v>175039</v>
      </c>
    </row>
    <row r="189" spans="1:4" x14ac:dyDescent="0.2">
      <c r="A189" s="13" t="s">
        <v>26</v>
      </c>
      <c r="B189" s="10" t="s">
        <v>84</v>
      </c>
      <c r="C189" s="11">
        <v>151078</v>
      </c>
      <c r="D189" s="15">
        <v>163041</v>
      </c>
    </row>
    <row r="190" spans="1:4" x14ac:dyDescent="0.2">
      <c r="A190" s="12" t="s">
        <v>26</v>
      </c>
      <c r="B190" s="8" t="s">
        <v>85</v>
      </c>
      <c r="C190" s="9">
        <v>455965</v>
      </c>
      <c r="D190" s="14">
        <v>445048</v>
      </c>
    </row>
    <row r="191" spans="1:4" x14ac:dyDescent="0.2">
      <c r="A191" s="13" t="s">
        <v>26</v>
      </c>
      <c r="B191" s="10" t="s">
        <v>86</v>
      </c>
      <c r="C191" s="11">
        <v>9962</v>
      </c>
      <c r="D191" s="15">
        <v>10831</v>
      </c>
    </row>
    <row r="192" spans="1:4" x14ac:dyDescent="0.2">
      <c r="A192" s="12" t="s">
        <v>26</v>
      </c>
      <c r="B192" s="8" t="s">
        <v>87</v>
      </c>
      <c r="C192" s="9">
        <v>12281</v>
      </c>
      <c r="D192" s="14">
        <v>13727</v>
      </c>
    </row>
    <row r="193" spans="1:4" x14ac:dyDescent="0.2">
      <c r="A193" s="13" t="s">
        <v>26</v>
      </c>
      <c r="B193" s="10" t="s">
        <v>88</v>
      </c>
      <c r="C193" s="11">
        <v>7138</v>
      </c>
      <c r="D193" s="15">
        <v>7693</v>
      </c>
    </row>
    <row r="194" spans="1:4" x14ac:dyDescent="0.2">
      <c r="A194" s="12" t="s">
        <v>26</v>
      </c>
      <c r="B194" s="8" t="s">
        <v>89</v>
      </c>
      <c r="C194" s="9">
        <v>7695</v>
      </c>
      <c r="D194" s="14">
        <v>8570</v>
      </c>
    </row>
    <row r="195" spans="1:4" x14ac:dyDescent="0.2">
      <c r="A195" s="13" t="s">
        <v>26</v>
      </c>
      <c r="B195" s="10" t="s">
        <v>90</v>
      </c>
      <c r="C195" s="11">
        <v>110178</v>
      </c>
      <c r="D195" s="15">
        <v>104440</v>
      </c>
    </row>
    <row r="196" spans="1:4" x14ac:dyDescent="0.2">
      <c r="A196" s="12" t="s">
        <v>26</v>
      </c>
      <c r="B196" s="8" t="s">
        <v>91</v>
      </c>
      <c r="C196" s="9">
        <v>102359</v>
      </c>
      <c r="D196" s="14">
        <v>110998</v>
      </c>
    </row>
    <row r="197" spans="1:4" x14ac:dyDescent="0.2">
      <c r="A197" s="13" t="s">
        <v>26</v>
      </c>
      <c r="B197" s="10" t="s">
        <v>92</v>
      </c>
      <c r="C197" s="11">
        <v>185080</v>
      </c>
      <c r="D197" s="15">
        <v>192453</v>
      </c>
    </row>
    <row r="198" spans="1:4" x14ac:dyDescent="0.2">
      <c r="A198" s="12" t="s">
        <v>26</v>
      </c>
      <c r="B198" s="8" t="s">
        <v>93</v>
      </c>
      <c r="C198" s="9">
        <v>5095</v>
      </c>
      <c r="D198" s="14">
        <v>5484</v>
      </c>
    </row>
    <row r="199" spans="1:4" x14ac:dyDescent="0.2">
      <c r="A199" s="13" t="s">
        <v>26</v>
      </c>
      <c r="B199" s="10" t="s">
        <v>94</v>
      </c>
      <c r="C199" s="11">
        <v>284947</v>
      </c>
      <c r="D199" s="15">
        <v>279517</v>
      </c>
    </row>
    <row r="200" spans="1:4" x14ac:dyDescent="0.2">
      <c r="A200" s="12" t="s">
        <v>26</v>
      </c>
      <c r="B200" s="8" t="s">
        <v>95</v>
      </c>
      <c r="C200" s="9">
        <v>170099</v>
      </c>
      <c r="D200" s="14">
        <v>175294</v>
      </c>
    </row>
    <row r="201" spans="1:4" x14ac:dyDescent="0.2">
      <c r="A201" s="13" t="s">
        <v>26</v>
      </c>
      <c r="B201" s="10" t="s">
        <v>96</v>
      </c>
      <c r="C201" s="11">
        <v>11970</v>
      </c>
      <c r="D201" s="15">
        <v>11810</v>
      </c>
    </row>
    <row r="202" spans="1:4" x14ac:dyDescent="0.2">
      <c r="A202" s="12" t="s">
        <v>26</v>
      </c>
      <c r="B202" s="8" t="s">
        <v>97</v>
      </c>
      <c r="C202" s="9">
        <v>354782</v>
      </c>
      <c r="D202" s="14">
        <v>338663</v>
      </c>
    </row>
    <row r="203" spans="1:4" x14ac:dyDescent="0.2">
      <c r="A203" s="13" t="s">
        <v>26</v>
      </c>
      <c r="B203" s="10" t="s">
        <v>98</v>
      </c>
      <c r="C203" s="11">
        <v>46367</v>
      </c>
      <c r="D203" s="15">
        <v>46445</v>
      </c>
    </row>
    <row r="204" spans="1:4" x14ac:dyDescent="0.2">
      <c r="A204" s="12" t="s">
        <v>26</v>
      </c>
      <c r="B204" s="8" t="s">
        <v>99</v>
      </c>
      <c r="C204" s="9">
        <v>209250</v>
      </c>
      <c r="D204" s="14">
        <v>194015</v>
      </c>
    </row>
    <row r="205" spans="1:4" x14ac:dyDescent="0.2">
      <c r="A205" s="13" t="s">
        <v>26</v>
      </c>
      <c r="B205" s="10" t="s">
        <v>100</v>
      </c>
      <c r="C205" s="11">
        <v>3540</v>
      </c>
      <c r="D205" s="15">
        <v>3619</v>
      </c>
    </row>
    <row r="206" spans="1:4" x14ac:dyDescent="0.2">
      <c r="A206" s="12" t="s">
        <v>26</v>
      </c>
      <c r="B206" s="8" t="s">
        <v>101</v>
      </c>
      <c r="C206" s="9">
        <v>6941</v>
      </c>
      <c r="D206" s="14">
        <v>6539</v>
      </c>
    </row>
    <row r="207" spans="1:4" x14ac:dyDescent="0.2">
      <c r="A207" s="13" t="s">
        <v>26</v>
      </c>
      <c r="B207" s="10" t="s">
        <v>102</v>
      </c>
      <c r="C207" s="11">
        <v>3895</v>
      </c>
      <c r="D207" s="15">
        <v>3639</v>
      </c>
    </row>
    <row r="208" spans="1:4" x14ac:dyDescent="0.2">
      <c r="A208" s="12" t="s">
        <v>26</v>
      </c>
      <c r="B208" s="8" t="s">
        <v>103</v>
      </c>
      <c r="C208" s="9">
        <v>75151</v>
      </c>
      <c r="D208" s="14">
        <v>77213</v>
      </c>
    </row>
    <row r="209" spans="1:4" x14ac:dyDescent="0.2">
      <c r="A209" s="13" t="s">
        <v>26</v>
      </c>
      <c r="B209" s="10" t="s">
        <v>104</v>
      </c>
      <c r="C209" s="11">
        <v>48824</v>
      </c>
      <c r="D209" s="15">
        <v>48792</v>
      </c>
    </row>
    <row r="210" spans="1:4" x14ac:dyDescent="0.2">
      <c r="A210" s="12" t="s">
        <v>26</v>
      </c>
      <c r="B210" s="8" t="s">
        <v>105</v>
      </c>
      <c r="C210" s="9">
        <v>4587</v>
      </c>
      <c r="D210" s="14">
        <v>4760</v>
      </c>
    </row>
    <row r="211" spans="1:4" x14ac:dyDescent="0.2">
      <c r="A211" s="13" t="s">
        <v>26</v>
      </c>
      <c r="B211" s="10" t="s">
        <v>106</v>
      </c>
      <c r="C211" s="11">
        <v>8029</v>
      </c>
      <c r="D211" s="15">
        <v>7964</v>
      </c>
    </row>
    <row r="212" spans="1:4" x14ac:dyDescent="0.2">
      <c r="A212" s="12" t="s">
        <v>27</v>
      </c>
      <c r="B212" s="8" t="s">
        <v>72</v>
      </c>
      <c r="C212" s="9">
        <v>173915</v>
      </c>
      <c r="D212" s="14">
        <v>189501</v>
      </c>
    </row>
    <row r="213" spans="1:4" x14ac:dyDescent="0.2">
      <c r="A213" s="13" t="s">
        <v>27</v>
      </c>
      <c r="B213" s="10" t="s">
        <v>73</v>
      </c>
      <c r="C213" s="11">
        <v>12012</v>
      </c>
      <c r="D213" s="15">
        <v>12126</v>
      </c>
    </row>
    <row r="214" spans="1:4" x14ac:dyDescent="0.2">
      <c r="A214" s="12" t="s">
        <v>27</v>
      </c>
      <c r="B214" s="8" t="s">
        <v>74</v>
      </c>
      <c r="C214" s="9">
        <v>65793</v>
      </c>
      <c r="D214" s="14">
        <v>62799</v>
      </c>
    </row>
    <row r="215" spans="1:4" x14ac:dyDescent="0.2">
      <c r="A215" s="13" t="s">
        <v>27</v>
      </c>
      <c r="B215" s="10" t="s">
        <v>75</v>
      </c>
      <c r="C215" s="11">
        <v>130561</v>
      </c>
      <c r="D215" s="15">
        <v>130487</v>
      </c>
    </row>
    <row r="216" spans="1:4" x14ac:dyDescent="0.2">
      <c r="A216" s="12" t="s">
        <v>27</v>
      </c>
      <c r="B216" s="8" t="s">
        <v>76</v>
      </c>
      <c r="C216" s="9">
        <v>80052</v>
      </c>
      <c r="D216" s="14">
        <v>84208</v>
      </c>
    </row>
    <row r="217" spans="1:4" x14ac:dyDescent="0.2">
      <c r="A217" s="13" t="s">
        <v>27</v>
      </c>
      <c r="B217" s="10" t="s">
        <v>77</v>
      </c>
      <c r="C217" s="11">
        <v>18316</v>
      </c>
      <c r="D217" s="15">
        <v>18445</v>
      </c>
    </row>
    <row r="218" spans="1:4" x14ac:dyDescent="0.2">
      <c r="A218" s="12" t="s">
        <v>27</v>
      </c>
      <c r="B218" s="8" t="s">
        <v>78</v>
      </c>
      <c r="C218" s="9">
        <v>262597</v>
      </c>
      <c r="D218" s="14">
        <v>281859</v>
      </c>
    </row>
    <row r="219" spans="1:4" x14ac:dyDescent="0.2">
      <c r="A219" s="13" t="s">
        <v>27</v>
      </c>
      <c r="B219" s="10" t="s">
        <v>79</v>
      </c>
      <c r="C219" s="11">
        <v>118675</v>
      </c>
      <c r="D219" s="15">
        <v>121881</v>
      </c>
    </row>
    <row r="220" spans="1:4" x14ac:dyDescent="0.2">
      <c r="A220" s="12" t="s">
        <v>27</v>
      </c>
      <c r="B220" s="8" t="s">
        <v>80</v>
      </c>
      <c r="C220" s="9">
        <v>33100</v>
      </c>
      <c r="D220" s="14">
        <v>36469</v>
      </c>
    </row>
    <row r="221" spans="1:4" x14ac:dyDescent="0.2">
      <c r="A221" s="13" t="s">
        <v>27</v>
      </c>
      <c r="B221" s="10" t="s">
        <v>81</v>
      </c>
      <c r="C221" s="11">
        <v>60500</v>
      </c>
      <c r="D221" s="15">
        <v>57691</v>
      </c>
    </row>
    <row r="222" spans="1:4" x14ac:dyDescent="0.2">
      <c r="A222" s="12" t="s">
        <v>27</v>
      </c>
      <c r="B222" s="8" t="s">
        <v>82</v>
      </c>
      <c r="C222" s="9">
        <v>289638</v>
      </c>
      <c r="D222" s="14">
        <v>282401</v>
      </c>
    </row>
    <row r="223" spans="1:4" x14ac:dyDescent="0.2">
      <c r="A223" s="13" t="s">
        <v>27</v>
      </c>
      <c r="B223" s="10" t="s">
        <v>83</v>
      </c>
      <c r="C223" s="11">
        <v>167689</v>
      </c>
      <c r="D223" s="15">
        <v>176950</v>
      </c>
    </row>
    <row r="224" spans="1:4" x14ac:dyDescent="0.2">
      <c r="A224" s="12" t="s">
        <v>27</v>
      </c>
      <c r="B224" s="8" t="s">
        <v>84</v>
      </c>
      <c r="C224" s="9">
        <v>164768</v>
      </c>
      <c r="D224" s="14">
        <v>152101</v>
      </c>
    </row>
    <row r="225" spans="1:4" x14ac:dyDescent="0.2">
      <c r="A225" s="13" t="s">
        <v>27</v>
      </c>
      <c r="B225" s="10" t="s">
        <v>85</v>
      </c>
      <c r="C225" s="11">
        <v>481478</v>
      </c>
      <c r="D225" s="15">
        <v>483413</v>
      </c>
    </row>
    <row r="226" spans="1:4" x14ac:dyDescent="0.2">
      <c r="A226" s="12" t="s">
        <v>27</v>
      </c>
      <c r="B226" s="8" t="s">
        <v>86</v>
      </c>
      <c r="C226" s="9">
        <v>10936</v>
      </c>
      <c r="D226" s="14">
        <v>11465</v>
      </c>
    </row>
    <row r="227" spans="1:4" x14ac:dyDescent="0.2">
      <c r="A227" s="13" t="s">
        <v>27</v>
      </c>
      <c r="B227" s="10" t="s">
        <v>87</v>
      </c>
      <c r="C227" s="11">
        <v>13902</v>
      </c>
      <c r="D227" s="15">
        <v>13943</v>
      </c>
    </row>
    <row r="228" spans="1:4" x14ac:dyDescent="0.2">
      <c r="A228" s="12" t="s">
        <v>27</v>
      </c>
      <c r="B228" s="8" t="s">
        <v>88</v>
      </c>
      <c r="C228" s="9">
        <v>7250</v>
      </c>
      <c r="D228" s="14">
        <v>7301</v>
      </c>
    </row>
    <row r="229" spans="1:4" x14ac:dyDescent="0.2">
      <c r="A229" s="13" t="s">
        <v>27</v>
      </c>
      <c r="B229" s="10" t="s">
        <v>89</v>
      </c>
      <c r="C229" s="11">
        <v>8234</v>
      </c>
      <c r="D229" s="15">
        <v>7805</v>
      </c>
    </row>
    <row r="230" spans="1:4" x14ac:dyDescent="0.2">
      <c r="A230" s="12" t="s">
        <v>27</v>
      </c>
      <c r="B230" s="8" t="s">
        <v>90</v>
      </c>
      <c r="C230" s="9">
        <v>121803</v>
      </c>
      <c r="D230" s="14">
        <v>133649</v>
      </c>
    </row>
    <row r="231" spans="1:4" x14ac:dyDescent="0.2">
      <c r="A231" s="13" t="s">
        <v>27</v>
      </c>
      <c r="B231" s="10" t="s">
        <v>91</v>
      </c>
      <c r="C231" s="11">
        <v>109930</v>
      </c>
      <c r="D231" s="15">
        <v>114656</v>
      </c>
    </row>
    <row r="232" spans="1:4" x14ac:dyDescent="0.2">
      <c r="A232" s="12" t="s">
        <v>27</v>
      </c>
      <c r="B232" s="8" t="s">
        <v>92</v>
      </c>
      <c r="C232" s="9">
        <v>194026</v>
      </c>
      <c r="D232" s="14">
        <v>206212</v>
      </c>
    </row>
    <row r="233" spans="1:4" x14ac:dyDescent="0.2">
      <c r="A233" s="13" t="s">
        <v>27</v>
      </c>
      <c r="B233" s="10" t="s">
        <v>93</v>
      </c>
      <c r="C233" s="11">
        <v>5779</v>
      </c>
      <c r="D233" s="15">
        <v>6216</v>
      </c>
    </row>
    <row r="234" spans="1:4" x14ac:dyDescent="0.2">
      <c r="A234" s="12" t="s">
        <v>27</v>
      </c>
      <c r="B234" s="8" t="s">
        <v>94</v>
      </c>
      <c r="C234" s="9">
        <v>295354</v>
      </c>
      <c r="D234" s="14">
        <v>321291</v>
      </c>
    </row>
    <row r="235" spans="1:4" x14ac:dyDescent="0.2">
      <c r="A235" s="13" t="s">
        <v>27</v>
      </c>
      <c r="B235" s="10" t="s">
        <v>95</v>
      </c>
      <c r="C235" s="11">
        <v>178318</v>
      </c>
      <c r="D235" s="15">
        <v>189206</v>
      </c>
    </row>
    <row r="236" spans="1:4" x14ac:dyDescent="0.2">
      <c r="A236" s="12" t="s">
        <v>27</v>
      </c>
      <c r="B236" s="8" t="s">
        <v>96</v>
      </c>
      <c r="C236" s="9">
        <v>12696</v>
      </c>
      <c r="D236" s="14">
        <v>13390</v>
      </c>
    </row>
    <row r="237" spans="1:4" x14ac:dyDescent="0.2">
      <c r="A237" s="13" t="s">
        <v>27</v>
      </c>
      <c r="B237" s="10" t="s">
        <v>97</v>
      </c>
      <c r="C237" s="11">
        <v>379637</v>
      </c>
      <c r="D237" s="15">
        <v>377732</v>
      </c>
    </row>
    <row r="238" spans="1:4" x14ac:dyDescent="0.2">
      <c r="A238" s="12" t="s">
        <v>27</v>
      </c>
      <c r="B238" s="8" t="s">
        <v>98</v>
      </c>
      <c r="C238" s="9">
        <v>46635</v>
      </c>
      <c r="D238" s="14">
        <v>43563</v>
      </c>
    </row>
    <row r="239" spans="1:4" x14ac:dyDescent="0.2">
      <c r="A239" s="13" t="s">
        <v>27</v>
      </c>
      <c r="B239" s="10" t="s">
        <v>99</v>
      </c>
      <c r="C239" s="11">
        <v>210345</v>
      </c>
      <c r="D239" s="15">
        <v>201331</v>
      </c>
    </row>
    <row r="240" spans="1:4" x14ac:dyDescent="0.2">
      <c r="A240" s="12" t="s">
        <v>27</v>
      </c>
      <c r="B240" s="8" t="s">
        <v>100</v>
      </c>
      <c r="C240" s="9">
        <v>3659</v>
      </c>
      <c r="D240" s="14">
        <v>3992</v>
      </c>
    </row>
    <row r="241" spans="1:4" x14ac:dyDescent="0.2">
      <c r="A241" s="13" t="s">
        <v>27</v>
      </c>
      <c r="B241" s="10" t="s">
        <v>101</v>
      </c>
      <c r="C241" s="11">
        <v>6732</v>
      </c>
      <c r="D241" s="15">
        <v>6320</v>
      </c>
    </row>
    <row r="242" spans="1:4" x14ac:dyDescent="0.2">
      <c r="A242" s="12" t="s">
        <v>27</v>
      </c>
      <c r="B242" s="8" t="s">
        <v>102</v>
      </c>
      <c r="C242" s="9">
        <v>4231</v>
      </c>
      <c r="D242" s="14">
        <v>4344</v>
      </c>
    </row>
    <row r="243" spans="1:4" x14ac:dyDescent="0.2">
      <c r="A243" s="13" t="s">
        <v>27</v>
      </c>
      <c r="B243" s="10" t="s">
        <v>103</v>
      </c>
      <c r="C243" s="11">
        <v>83536</v>
      </c>
      <c r="D243" s="15">
        <v>90556</v>
      </c>
    </row>
    <row r="244" spans="1:4" x14ac:dyDescent="0.2">
      <c r="A244" s="12" t="s">
        <v>27</v>
      </c>
      <c r="B244" s="8" t="s">
        <v>104</v>
      </c>
      <c r="C244" s="9">
        <v>52551</v>
      </c>
      <c r="D244" s="14">
        <v>57616</v>
      </c>
    </row>
    <row r="245" spans="1:4" x14ac:dyDescent="0.2">
      <c r="A245" s="13" t="s">
        <v>27</v>
      </c>
      <c r="B245" s="10" t="s">
        <v>105</v>
      </c>
      <c r="C245" s="11">
        <v>5428</v>
      </c>
      <c r="D245" s="15">
        <v>6066</v>
      </c>
    </row>
    <row r="246" spans="1:4" x14ac:dyDescent="0.2">
      <c r="A246" s="12" t="s">
        <v>27</v>
      </c>
      <c r="B246" s="8" t="s">
        <v>106</v>
      </c>
      <c r="C246" s="9">
        <v>8850</v>
      </c>
      <c r="D246" s="14">
        <v>9090</v>
      </c>
    </row>
    <row r="247" spans="1:4" x14ac:dyDescent="0.2">
      <c r="A247" s="13" t="s">
        <v>28</v>
      </c>
      <c r="B247" s="10" t="s">
        <v>72</v>
      </c>
      <c r="C247" s="11">
        <v>188840</v>
      </c>
      <c r="D247" s="15">
        <v>192744</v>
      </c>
    </row>
    <row r="248" spans="1:4" x14ac:dyDescent="0.2">
      <c r="A248" s="12" t="s">
        <v>28</v>
      </c>
      <c r="B248" s="8" t="s">
        <v>73</v>
      </c>
      <c r="C248" s="9">
        <v>12452</v>
      </c>
      <c r="D248" s="14">
        <v>12942</v>
      </c>
    </row>
    <row r="249" spans="1:4" x14ac:dyDescent="0.2">
      <c r="A249" s="13" t="s">
        <v>28</v>
      </c>
      <c r="B249" s="10" t="s">
        <v>74</v>
      </c>
      <c r="C249" s="11">
        <v>70230</v>
      </c>
      <c r="D249" s="15">
        <v>76689</v>
      </c>
    </row>
    <row r="250" spans="1:4" x14ac:dyDescent="0.2">
      <c r="A250" s="12" t="s">
        <v>28</v>
      </c>
      <c r="B250" s="8" t="s">
        <v>75</v>
      </c>
      <c r="C250" s="9">
        <v>138417</v>
      </c>
      <c r="D250" s="14">
        <v>146365</v>
      </c>
    </row>
    <row r="251" spans="1:4" x14ac:dyDescent="0.2">
      <c r="A251" s="13" t="s">
        <v>28</v>
      </c>
      <c r="B251" s="10" t="s">
        <v>76</v>
      </c>
      <c r="C251" s="11">
        <v>87814</v>
      </c>
      <c r="D251" s="15">
        <v>97458</v>
      </c>
    </row>
    <row r="252" spans="1:4" x14ac:dyDescent="0.2">
      <c r="A252" s="12" t="s">
        <v>28</v>
      </c>
      <c r="B252" s="8" t="s">
        <v>77</v>
      </c>
      <c r="C252" s="9">
        <v>18556</v>
      </c>
      <c r="D252" s="14">
        <v>19062</v>
      </c>
    </row>
    <row r="253" spans="1:4" x14ac:dyDescent="0.2">
      <c r="A253" s="13" t="s">
        <v>28</v>
      </c>
      <c r="B253" s="10" t="s">
        <v>78</v>
      </c>
      <c r="C253" s="11">
        <v>287028</v>
      </c>
      <c r="D253" s="15">
        <v>305813</v>
      </c>
    </row>
    <row r="254" spans="1:4" x14ac:dyDescent="0.2">
      <c r="A254" s="12" t="s">
        <v>28</v>
      </c>
      <c r="B254" s="8" t="s">
        <v>79</v>
      </c>
      <c r="C254" s="9">
        <v>127599</v>
      </c>
      <c r="D254" s="14">
        <v>122361</v>
      </c>
    </row>
    <row r="255" spans="1:4" x14ac:dyDescent="0.2">
      <c r="A255" s="13" t="s">
        <v>28</v>
      </c>
      <c r="B255" s="10" t="s">
        <v>80</v>
      </c>
      <c r="C255" s="11">
        <v>33546</v>
      </c>
      <c r="D255" s="15">
        <v>34295</v>
      </c>
    </row>
    <row r="256" spans="1:4" x14ac:dyDescent="0.2">
      <c r="A256" s="12" t="s">
        <v>28</v>
      </c>
      <c r="B256" s="8" t="s">
        <v>81</v>
      </c>
      <c r="C256" s="9">
        <v>64618</v>
      </c>
      <c r="D256" s="14">
        <v>63989</v>
      </c>
    </row>
    <row r="257" spans="1:4" x14ac:dyDescent="0.2">
      <c r="A257" s="13" t="s">
        <v>28</v>
      </c>
      <c r="B257" s="10" t="s">
        <v>82</v>
      </c>
      <c r="C257" s="11">
        <v>293014</v>
      </c>
      <c r="D257" s="15">
        <v>309063</v>
      </c>
    </row>
    <row r="258" spans="1:4" x14ac:dyDescent="0.2">
      <c r="A258" s="12" t="s">
        <v>28</v>
      </c>
      <c r="B258" s="8" t="s">
        <v>83</v>
      </c>
      <c r="C258" s="9">
        <v>170850</v>
      </c>
      <c r="D258" s="14">
        <v>160340</v>
      </c>
    </row>
    <row r="259" spans="1:4" x14ac:dyDescent="0.2">
      <c r="A259" s="13" t="s">
        <v>28</v>
      </c>
      <c r="B259" s="10" t="s">
        <v>84</v>
      </c>
      <c r="C259" s="11">
        <v>174736</v>
      </c>
      <c r="D259" s="15">
        <v>186623</v>
      </c>
    </row>
    <row r="260" spans="1:4" x14ac:dyDescent="0.2">
      <c r="A260" s="12" t="s">
        <v>28</v>
      </c>
      <c r="B260" s="8" t="s">
        <v>85</v>
      </c>
      <c r="C260" s="9">
        <v>513066</v>
      </c>
      <c r="D260" s="14">
        <v>526772</v>
      </c>
    </row>
    <row r="261" spans="1:4" x14ac:dyDescent="0.2">
      <c r="A261" s="13" t="s">
        <v>28</v>
      </c>
      <c r="B261" s="10" t="s">
        <v>86</v>
      </c>
      <c r="C261" s="11">
        <v>10671</v>
      </c>
      <c r="D261" s="15">
        <v>11895</v>
      </c>
    </row>
    <row r="262" spans="1:4" x14ac:dyDescent="0.2">
      <c r="A262" s="12" t="s">
        <v>28</v>
      </c>
      <c r="B262" s="8" t="s">
        <v>87</v>
      </c>
      <c r="C262" s="9">
        <v>13972</v>
      </c>
      <c r="D262" s="14">
        <v>14379</v>
      </c>
    </row>
    <row r="263" spans="1:4" x14ac:dyDescent="0.2">
      <c r="A263" s="13" t="s">
        <v>28</v>
      </c>
      <c r="B263" s="10" t="s">
        <v>88</v>
      </c>
      <c r="C263" s="11">
        <v>7959</v>
      </c>
      <c r="D263" s="15">
        <v>8558</v>
      </c>
    </row>
    <row r="264" spans="1:4" x14ac:dyDescent="0.2">
      <c r="A264" s="12" t="s">
        <v>28</v>
      </c>
      <c r="B264" s="8" t="s">
        <v>89</v>
      </c>
      <c r="C264" s="9">
        <v>8338</v>
      </c>
      <c r="D264" s="14">
        <v>9000</v>
      </c>
    </row>
    <row r="265" spans="1:4" x14ac:dyDescent="0.2">
      <c r="A265" s="13" t="s">
        <v>28</v>
      </c>
      <c r="B265" s="10" t="s">
        <v>90</v>
      </c>
      <c r="C265" s="11">
        <v>126914</v>
      </c>
      <c r="D265" s="15">
        <v>125748</v>
      </c>
    </row>
    <row r="266" spans="1:4" x14ac:dyDescent="0.2">
      <c r="A266" s="12" t="s">
        <v>28</v>
      </c>
      <c r="B266" s="8" t="s">
        <v>91</v>
      </c>
      <c r="C266" s="9">
        <v>116309</v>
      </c>
      <c r="D266" s="14">
        <v>130199</v>
      </c>
    </row>
    <row r="267" spans="1:4" x14ac:dyDescent="0.2">
      <c r="A267" s="13" t="s">
        <v>28</v>
      </c>
      <c r="B267" s="10" t="s">
        <v>92</v>
      </c>
      <c r="C267" s="11">
        <v>203590</v>
      </c>
      <c r="D267" s="15">
        <v>209703</v>
      </c>
    </row>
    <row r="268" spans="1:4" x14ac:dyDescent="0.2">
      <c r="A268" s="12" t="s">
        <v>28</v>
      </c>
      <c r="B268" s="8" t="s">
        <v>93</v>
      </c>
      <c r="C268" s="9">
        <v>6368</v>
      </c>
      <c r="D268" s="14">
        <v>5863</v>
      </c>
    </row>
    <row r="269" spans="1:4" x14ac:dyDescent="0.2">
      <c r="A269" s="13" t="s">
        <v>28</v>
      </c>
      <c r="B269" s="10" t="s">
        <v>94</v>
      </c>
      <c r="C269" s="11">
        <v>306379</v>
      </c>
      <c r="D269" s="15">
        <v>314816</v>
      </c>
    </row>
    <row r="270" spans="1:4" x14ac:dyDescent="0.2">
      <c r="A270" s="12" t="s">
        <v>28</v>
      </c>
      <c r="B270" s="8" t="s">
        <v>95</v>
      </c>
      <c r="C270" s="9">
        <v>192119</v>
      </c>
      <c r="D270" s="14">
        <v>182263</v>
      </c>
    </row>
    <row r="271" spans="1:4" x14ac:dyDescent="0.2">
      <c r="A271" s="13" t="s">
        <v>28</v>
      </c>
      <c r="B271" s="10" t="s">
        <v>96</v>
      </c>
      <c r="C271" s="11">
        <v>13592</v>
      </c>
      <c r="D271" s="15">
        <v>14649</v>
      </c>
    </row>
    <row r="272" spans="1:4" x14ac:dyDescent="0.2">
      <c r="A272" s="12" t="s">
        <v>28</v>
      </c>
      <c r="B272" s="8" t="s">
        <v>97</v>
      </c>
      <c r="C272" s="9">
        <v>401405</v>
      </c>
      <c r="D272" s="14">
        <v>417490</v>
      </c>
    </row>
    <row r="273" spans="1:4" x14ac:dyDescent="0.2">
      <c r="A273" s="13" t="s">
        <v>28</v>
      </c>
      <c r="B273" s="10" t="s">
        <v>98</v>
      </c>
      <c r="C273" s="11">
        <v>50135</v>
      </c>
      <c r="D273" s="15">
        <v>48295</v>
      </c>
    </row>
    <row r="274" spans="1:4" x14ac:dyDescent="0.2">
      <c r="A274" s="12" t="s">
        <v>28</v>
      </c>
      <c r="B274" s="8" t="s">
        <v>99</v>
      </c>
      <c r="C274" s="9">
        <v>230332</v>
      </c>
      <c r="D274" s="14">
        <v>234050</v>
      </c>
    </row>
    <row r="275" spans="1:4" x14ac:dyDescent="0.2">
      <c r="A275" s="13" t="s">
        <v>28</v>
      </c>
      <c r="B275" s="10" t="s">
        <v>100</v>
      </c>
      <c r="C275" s="11">
        <v>4145</v>
      </c>
      <c r="D275" s="15">
        <v>3920</v>
      </c>
    </row>
    <row r="276" spans="1:4" x14ac:dyDescent="0.2">
      <c r="A276" s="12" t="s">
        <v>28</v>
      </c>
      <c r="B276" s="8" t="s">
        <v>101</v>
      </c>
      <c r="C276" s="9">
        <v>7281</v>
      </c>
      <c r="D276" s="14">
        <v>7670</v>
      </c>
    </row>
    <row r="277" spans="1:4" x14ac:dyDescent="0.2">
      <c r="A277" s="13" t="s">
        <v>28</v>
      </c>
      <c r="B277" s="10" t="s">
        <v>102</v>
      </c>
      <c r="C277" s="11">
        <v>4630</v>
      </c>
      <c r="D277" s="15">
        <v>4861</v>
      </c>
    </row>
    <row r="278" spans="1:4" x14ac:dyDescent="0.2">
      <c r="A278" s="12" t="s">
        <v>28</v>
      </c>
      <c r="B278" s="8" t="s">
        <v>103</v>
      </c>
      <c r="C278" s="9">
        <v>88699</v>
      </c>
      <c r="D278" s="14">
        <v>93226</v>
      </c>
    </row>
    <row r="279" spans="1:4" x14ac:dyDescent="0.2">
      <c r="A279" s="13" t="s">
        <v>28</v>
      </c>
      <c r="B279" s="10" t="s">
        <v>104</v>
      </c>
      <c r="C279" s="11">
        <v>55560</v>
      </c>
      <c r="D279" s="15">
        <v>58461</v>
      </c>
    </row>
    <row r="280" spans="1:4" x14ac:dyDescent="0.2">
      <c r="A280" s="12" t="s">
        <v>28</v>
      </c>
      <c r="B280" s="8" t="s">
        <v>105</v>
      </c>
      <c r="C280" s="9">
        <v>5900</v>
      </c>
      <c r="D280" s="14">
        <v>5511</v>
      </c>
    </row>
    <row r="281" spans="1:4" x14ac:dyDescent="0.2">
      <c r="A281" s="13" t="s">
        <v>28</v>
      </c>
      <c r="B281" s="10" t="s">
        <v>106</v>
      </c>
      <c r="C281" s="11">
        <v>9089</v>
      </c>
      <c r="D281" s="15">
        <v>10060</v>
      </c>
    </row>
    <row r="282" spans="1:4" x14ac:dyDescent="0.2">
      <c r="A282" s="12" t="s">
        <v>29</v>
      </c>
      <c r="B282" s="8" t="s">
        <v>72</v>
      </c>
      <c r="C282" s="9">
        <v>194343</v>
      </c>
      <c r="D282" s="14">
        <v>196526</v>
      </c>
    </row>
    <row r="283" spans="1:4" x14ac:dyDescent="0.2">
      <c r="A283" s="13" t="s">
        <v>29</v>
      </c>
      <c r="B283" s="10" t="s">
        <v>73</v>
      </c>
      <c r="C283" s="11">
        <v>12872</v>
      </c>
      <c r="D283" s="15">
        <v>13527</v>
      </c>
    </row>
    <row r="284" spans="1:4" x14ac:dyDescent="0.2">
      <c r="A284" s="12" t="s">
        <v>29</v>
      </c>
      <c r="B284" s="8" t="s">
        <v>74</v>
      </c>
      <c r="C284" s="9">
        <v>75655</v>
      </c>
      <c r="D284" s="14">
        <v>83793</v>
      </c>
    </row>
    <row r="285" spans="1:4" x14ac:dyDescent="0.2">
      <c r="A285" s="13" t="s">
        <v>29</v>
      </c>
      <c r="B285" s="10" t="s">
        <v>75</v>
      </c>
      <c r="C285" s="11">
        <v>148978</v>
      </c>
      <c r="D285" s="15">
        <v>147089</v>
      </c>
    </row>
    <row r="286" spans="1:4" x14ac:dyDescent="0.2">
      <c r="A286" s="12" t="s">
        <v>29</v>
      </c>
      <c r="B286" s="8" t="s">
        <v>76</v>
      </c>
      <c r="C286" s="9">
        <v>88651</v>
      </c>
      <c r="D286" s="14">
        <v>86395</v>
      </c>
    </row>
    <row r="287" spans="1:4" x14ac:dyDescent="0.2">
      <c r="A287" s="13" t="s">
        <v>29</v>
      </c>
      <c r="B287" s="10" t="s">
        <v>77</v>
      </c>
      <c r="C287" s="11">
        <v>19630</v>
      </c>
      <c r="D287" s="15">
        <v>21336</v>
      </c>
    </row>
    <row r="288" spans="1:4" x14ac:dyDescent="0.2">
      <c r="A288" s="12" t="s">
        <v>29</v>
      </c>
      <c r="B288" s="8" t="s">
        <v>78</v>
      </c>
      <c r="C288" s="9">
        <v>303246</v>
      </c>
      <c r="D288" s="14">
        <v>308316</v>
      </c>
    </row>
    <row r="289" spans="1:4" x14ac:dyDescent="0.2">
      <c r="A289" s="13" t="s">
        <v>29</v>
      </c>
      <c r="B289" s="10" t="s">
        <v>79</v>
      </c>
      <c r="C289" s="11">
        <v>131023</v>
      </c>
      <c r="D289" s="15">
        <v>143330</v>
      </c>
    </row>
    <row r="290" spans="1:4" x14ac:dyDescent="0.2">
      <c r="A290" s="12" t="s">
        <v>29</v>
      </c>
      <c r="B290" s="8" t="s">
        <v>80</v>
      </c>
      <c r="C290" s="9">
        <v>36658</v>
      </c>
      <c r="D290" s="14">
        <v>35848</v>
      </c>
    </row>
    <row r="291" spans="1:4" x14ac:dyDescent="0.2">
      <c r="A291" s="13" t="s">
        <v>29</v>
      </c>
      <c r="B291" s="10" t="s">
        <v>81</v>
      </c>
      <c r="C291" s="11">
        <v>66383</v>
      </c>
      <c r="D291" s="15">
        <v>71049</v>
      </c>
    </row>
    <row r="292" spans="1:4" x14ac:dyDescent="0.2">
      <c r="A292" s="12" t="s">
        <v>29</v>
      </c>
      <c r="B292" s="8" t="s">
        <v>82</v>
      </c>
      <c r="C292" s="9">
        <v>310309</v>
      </c>
      <c r="D292" s="14">
        <v>345877</v>
      </c>
    </row>
    <row r="293" spans="1:4" x14ac:dyDescent="0.2">
      <c r="A293" s="13" t="s">
        <v>29</v>
      </c>
      <c r="B293" s="10" t="s">
        <v>83</v>
      </c>
      <c r="C293" s="11">
        <v>184854</v>
      </c>
      <c r="D293" s="15">
        <v>187330</v>
      </c>
    </row>
    <row r="294" spans="1:4" x14ac:dyDescent="0.2">
      <c r="A294" s="12" t="s">
        <v>29</v>
      </c>
      <c r="B294" s="8" t="s">
        <v>84</v>
      </c>
      <c r="C294" s="9">
        <v>179483</v>
      </c>
      <c r="D294" s="14">
        <v>199696</v>
      </c>
    </row>
    <row r="295" spans="1:4" x14ac:dyDescent="0.2">
      <c r="A295" s="13" t="s">
        <v>29</v>
      </c>
      <c r="B295" s="10" t="s">
        <v>85</v>
      </c>
      <c r="C295" s="11">
        <v>521483</v>
      </c>
      <c r="D295" s="15">
        <v>539656</v>
      </c>
    </row>
    <row r="296" spans="1:4" x14ac:dyDescent="0.2">
      <c r="A296" s="12" t="s">
        <v>29</v>
      </c>
      <c r="B296" s="8" t="s">
        <v>86</v>
      </c>
      <c r="C296" s="9">
        <v>11650</v>
      </c>
      <c r="D296" s="14">
        <v>12383</v>
      </c>
    </row>
    <row r="297" spans="1:4" x14ac:dyDescent="0.2">
      <c r="A297" s="13" t="s">
        <v>29</v>
      </c>
      <c r="B297" s="10" t="s">
        <v>87</v>
      </c>
      <c r="C297" s="11">
        <v>15654</v>
      </c>
      <c r="D297" s="15">
        <v>15343</v>
      </c>
    </row>
    <row r="298" spans="1:4" x14ac:dyDescent="0.2">
      <c r="A298" s="12" t="s">
        <v>29</v>
      </c>
      <c r="B298" s="8" t="s">
        <v>88</v>
      </c>
      <c r="C298" s="9">
        <v>8405</v>
      </c>
      <c r="D298" s="14">
        <v>8352</v>
      </c>
    </row>
    <row r="299" spans="1:4" x14ac:dyDescent="0.2">
      <c r="A299" s="13" t="s">
        <v>29</v>
      </c>
      <c r="B299" s="10" t="s">
        <v>89</v>
      </c>
      <c r="C299" s="11">
        <v>9120</v>
      </c>
      <c r="D299" s="15">
        <v>9218</v>
      </c>
    </row>
    <row r="300" spans="1:4" x14ac:dyDescent="0.2">
      <c r="A300" s="12" t="s">
        <v>29</v>
      </c>
      <c r="B300" s="8" t="s">
        <v>90</v>
      </c>
      <c r="C300" s="9">
        <v>134316</v>
      </c>
      <c r="D300" s="14">
        <v>147467</v>
      </c>
    </row>
    <row r="301" spans="1:4" x14ac:dyDescent="0.2">
      <c r="A301" s="13" t="s">
        <v>29</v>
      </c>
      <c r="B301" s="10" t="s">
        <v>91</v>
      </c>
      <c r="C301" s="11">
        <v>122796</v>
      </c>
      <c r="D301" s="15">
        <v>130329</v>
      </c>
    </row>
    <row r="302" spans="1:4" x14ac:dyDescent="0.2">
      <c r="A302" s="12" t="s">
        <v>29</v>
      </c>
      <c r="B302" s="8" t="s">
        <v>92</v>
      </c>
      <c r="C302" s="9">
        <v>212807</v>
      </c>
      <c r="D302" s="14">
        <v>204221</v>
      </c>
    </row>
    <row r="303" spans="1:4" x14ac:dyDescent="0.2">
      <c r="A303" s="13" t="s">
        <v>29</v>
      </c>
      <c r="B303" s="10" t="s">
        <v>93</v>
      </c>
      <c r="C303" s="11">
        <v>7063</v>
      </c>
      <c r="D303" s="15">
        <v>7286</v>
      </c>
    </row>
    <row r="304" spans="1:4" x14ac:dyDescent="0.2">
      <c r="A304" s="12" t="s">
        <v>29</v>
      </c>
      <c r="B304" s="8" t="s">
        <v>94</v>
      </c>
      <c r="C304" s="9">
        <v>336953</v>
      </c>
      <c r="D304" s="14">
        <v>368856</v>
      </c>
    </row>
    <row r="305" spans="1:4" x14ac:dyDescent="0.2">
      <c r="A305" s="13" t="s">
        <v>29</v>
      </c>
      <c r="B305" s="10" t="s">
        <v>95</v>
      </c>
      <c r="C305" s="11">
        <v>195797</v>
      </c>
      <c r="D305" s="15">
        <v>214304</v>
      </c>
    </row>
    <row r="306" spans="1:4" x14ac:dyDescent="0.2">
      <c r="A306" s="12" t="s">
        <v>29</v>
      </c>
      <c r="B306" s="8" t="s">
        <v>96</v>
      </c>
      <c r="C306" s="9">
        <v>13726</v>
      </c>
      <c r="D306" s="14">
        <v>13869</v>
      </c>
    </row>
    <row r="307" spans="1:4" x14ac:dyDescent="0.2">
      <c r="A307" s="13" t="s">
        <v>29</v>
      </c>
      <c r="B307" s="10" t="s">
        <v>97</v>
      </c>
      <c r="C307" s="11">
        <v>407134</v>
      </c>
      <c r="D307" s="15">
        <v>416713</v>
      </c>
    </row>
    <row r="308" spans="1:4" x14ac:dyDescent="0.2">
      <c r="A308" s="12" t="s">
        <v>29</v>
      </c>
      <c r="B308" s="8" t="s">
        <v>98</v>
      </c>
      <c r="C308" s="9">
        <v>53587</v>
      </c>
      <c r="D308" s="14">
        <v>57003</v>
      </c>
    </row>
    <row r="309" spans="1:4" x14ac:dyDescent="0.2">
      <c r="A309" s="13" t="s">
        <v>29</v>
      </c>
      <c r="B309" s="10" t="s">
        <v>99</v>
      </c>
      <c r="C309" s="11">
        <v>241857</v>
      </c>
      <c r="D309" s="15">
        <v>266187</v>
      </c>
    </row>
    <row r="310" spans="1:4" x14ac:dyDescent="0.2">
      <c r="A310" s="12" t="s">
        <v>29</v>
      </c>
      <c r="B310" s="8" t="s">
        <v>100</v>
      </c>
      <c r="C310" s="9">
        <v>4142</v>
      </c>
      <c r="D310" s="14">
        <v>4530</v>
      </c>
    </row>
    <row r="311" spans="1:4" x14ac:dyDescent="0.2">
      <c r="A311" s="13" t="s">
        <v>29</v>
      </c>
      <c r="B311" s="10" t="s">
        <v>101</v>
      </c>
      <c r="C311" s="11">
        <v>7778</v>
      </c>
      <c r="D311" s="15">
        <v>7735</v>
      </c>
    </row>
    <row r="312" spans="1:4" x14ac:dyDescent="0.2">
      <c r="A312" s="12" t="s">
        <v>29</v>
      </c>
      <c r="B312" s="8" t="s">
        <v>102</v>
      </c>
      <c r="C312" s="9">
        <v>4751</v>
      </c>
      <c r="D312" s="14">
        <v>4455</v>
      </c>
    </row>
    <row r="313" spans="1:4" x14ac:dyDescent="0.2">
      <c r="A313" s="13" t="s">
        <v>29</v>
      </c>
      <c r="B313" s="10" t="s">
        <v>103</v>
      </c>
      <c r="C313" s="11">
        <v>90652</v>
      </c>
      <c r="D313" s="15">
        <v>88889</v>
      </c>
    </row>
    <row r="314" spans="1:4" x14ac:dyDescent="0.2">
      <c r="A314" s="12" t="s">
        <v>29</v>
      </c>
      <c r="B314" s="8" t="s">
        <v>104</v>
      </c>
      <c r="C314" s="9">
        <v>59032</v>
      </c>
      <c r="D314" s="14">
        <v>65093</v>
      </c>
    </row>
    <row r="315" spans="1:4" x14ac:dyDescent="0.2">
      <c r="A315" s="13" t="s">
        <v>29</v>
      </c>
      <c r="B315" s="10" t="s">
        <v>105</v>
      </c>
      <c r="C315" s="11">
        <v>5943</v>
      </c>
      <c r="D315" s="15">
        <v>5836</v>
      </c>
    </row>
    <row r="316" spans="1:4" x14ac:dyDescent="0.2">
      <c r="A316" s="12" t="s">
        <v>29</v>
      </c>
      <c r="B316" s="8" t="s">
        <v>106</v>
      </c>
      <c r="C316" s="9">
        <v>9793</v>
      </c>
      <c r="D316" s="14">
        <v>10548</v>
      </c>
    </row>
    <row r="317" spans="1:4" x14ac:dyDescent="0.2">
      <c r="A317" s="13" t="s">
        <v>30</v>
      </c>
      <c r="B317" s="10" t="s">
        <v>72</v>
      </c>
      <c r="C317" s="11">
        <v>209361</v>
      </c>
      <c r="D317" s="15">
        <v>203223</v>
      </c>
    </row>
    <row r="318" spans="1:4" x14ac:dyDescent="0.2">
      <c r="A318" s="12" t="s">
        <v>30</v>
      </c>
      <c r="B318" s="8" t="s">
        <v>73</v>
      </c>
      <c r="C318" s="9">
        <v>13945</v>
      </c>
      <c r="D318" s="14">
        <v>15077</v>
      </c>
    </row>
    <row r="319" spans="1:4" x14ac:dyDescent="0.2">
      <c r="A319" s="13" t="s">
        <v>30</v>
      </c>
      <c r="B319" s="10" t="s">
        <v>74</v>
      </c>
      <c r="C319" s="11">
        <v>75972</v>
      </c>
      <c r="D319" s="15">
        <v>84579</v>
      </c>
    </row>
    <row r="320" spans="1:4" x14ac:dyDescent="0.2">
      <c r="A320" s="12" t="s">
        <v>30</v>
      </c>
      <c r="B320" s="8" t="s">
        <v>75</v>
      </c>
      <c r="C320" s="9">
        <v>155553</v>
      </c>
      <c r="D320" s="14">
        <v>150359</v>
      </c>
    </row>
    <row r="321" spans="1:4" x14ac:dyDescent="0.2">
      <c r="A321" s="13" t="s">
        <v>30</v>
      </c>
      <c r="B321" s="10" t="s">
        <v>76</v>
      </c>
      <c r="C321" s="11">
        <v>96083</v>
      </c>
      <c r="D321" s="15">
        <v>104020</v>
      </c>
    </row>
    <row r="322" spans="1:4" x14ac:dyDescent="0.2">
      <c r="A322" s="12" t="s">
        <v>30</v>
      </c>
      <c r="B322" s="8" t="s">
        <v>77</v>
      </c>
      <c r="C322" s="9">
        <v>20006</v>
      </c>
      <c r="D322" s="14">
        <v>21234</v>
      </c>
    </row>
    <row r="323" spans="1:4" x14ac:dyDescent="0.2">
      <c r="A323" s="13" t="s">
        <v>30</v>
      </c>
      <c r="B323" s="10" t="s">
        <v>78</v>
      </c>
      <c r="C323" s="11">
        <v>310058</v>
      </c>
      <c r="D323" s="15">
        <v>330635</v>
      </c>
    </row>
    <row r="324" spans="1:4" x14ac:dyDescent="0.2">
      <c r="A324" s="12" t="s">
        <v>30</v>
      </c>
      <c r="B324" s="8" t="s">
        <v>79</v>
      </c>
      <c r="C324" s="9">
        <v>140019</v>
      </c>
      <c r="D324" s="14">
        <v>145322</v>
      </c>
    </row>
    <row r="325" spans="1:4" x14ac:dyDescent="0.2">
      <c r="A325" s="13" t="s">
        <v>30</v>
      </c>
      <c r="B325" s="10" t="s">
        <v>80</v>
      </c>
      <c r="C325" s="11">
        <v>39176</v>
      </c>
      <c r="D325" s="15">
        <v>39623</v>
      </c>
    </row>
    <row r="326" spans="1:4" x14ac:dyDescent="0.2">
      <c r="A326" s="12" t="s">
        <v>30</v>
      </c>
      <c r="B326" s="8" t="s">
        <v>81</v>
      </c>
      <c r="C326" s="9">
        <v>69416</v>
      </c>
      <c r="D326" s="14">
        <v>75021</v>
      </c>
    </row>
    <row r="327" spans="1:4" x14ac:dyDescent="0.2">
      <c r="A327" s="13" t="s">
        <v>30</v>
      </c>
      <c r="B327" s="10" t="s">
        <v>82</v>
      </c>
      <c r="C327" s="11">
        <v>333669</v>
      </c>
      <c r="D327" s="15">
        <v>337839</v>
      </c>
    </row>
    <row r="328" spans="1:4" x14ac:dyDescent="0.2">
      <c r="A328" s="12" t="s">
        <v>30</v>
      </c>
      <c r="B328" s="8" t="s">
        <v>83</v>
      </c>
      <c r="C328" s="9">
        <v>188798</v>
      </c>
      <c r="D328" s="14">
        <v>197772</v>
      </c>
    </row>
    <row r="329" spans="1:4" x14ac:dyDescent="0.2">
      <c r="A329" s="13" t="s">
        <v>30</v>
      </c>
      <c r="B329" s="10" t="s">
        <v>84</v>
      </c>
      <c r="C329" s="11">
        <v>187298</v>
      </c>
      <c r="D329" s="15">
        <v>175827</v>
      </c>
    </row>
    <row r="330" spans="1:4" x14ac:dyDescent="0.2">
      <c r="A330" s="12" t="s">
        <v>30</v>
      </c>
      <c r="B330" s="8" t="s">
        <v>85</v>
      </c>
      <c r="C330" s="9">
        <v>555495</v>
      </c>
      <c r="D330" s="14">
        <v>543370</v>
      </c>
    </row>
    <row r="331" spans="1:4" x14ac:dyDescent="0.2">
      <c r="A331" s="13" t="s">
        <v>30</v>
      </c>
      <c r="B331" s="10" t="s">
        <v>86</v>
      </c>
      <c r="C331" s="11">
        <v>12617</v>
      </c>
      <c r="D331" s="15">
        <v>14072</v>
      </c>
    </row>
    <row r="332" spans="1:4" x14ac:dyDescent="0.2">
      <c r="A332" s="12" t="s">
        <v>30</v>
      </c>
      <c r="B332" s="8" t="s">
        <v>87</v>
      </c>
      <c r="C332" s="9">
        <v>15380</v>
      </c>
      <c r="D332" s="14">
        <v>17056</v>
      </c>
    </row>
    <row r="333" spans="1:4" x14ac:dyDescent="0.2">
      <c r="A333" s="13" t="s">
        <v>30</v>
      </c>
      <c r="B333" s="10" t="s">
        <v>88</v>
      </c>
      <c r="C333" s="11">
        <v>8701</v>
      </c>
      <c r="D333" s="15">
        <v>8905</v>
      </c>
    </row>
    <row r="334" spans="1:4" x14ac:dyDescent="0.2">
      <c r="A334" s="12" t="s">
        <v>30</v>
      </c>
      <c r="B334" s="8" t="s">
        <v>89</v>
      </c>
      <c r="C334" s="9">
        <v>9439</v>
      </c>
      <c r="D334" s="14">
        <v>9730</v>
      </c>
    </row>
    <row r="335" spans="1:4" x14ac:dyDescent="0.2">
      <c r="A335" s="13" t="s">
        <v>30</v>
      </c>
      <c r="B335" s="10" t="s">
        <v>90</v>
      </c>
      <c r="C335" s="11">
        <v>136565</v>
      </c>
      <c r="D335" s="15">
        <v>133282</v>
      </c>
    </row>
    <row r="336" spans="1:4" x14ac:dyDescent="0.2">
      <c r="A336" s="12" t="s">
        <v>30</v>
      </c>
      <c r="B336" s="8" t="s">
        <v>91</v>
      </c>
      <c r="C336" s="9">
        <v>131452</v>
      </c>
      <c r="D336" s="14">
        <v>126117</v>
      </c>
    </row>
    <row r="337" spans="1:4" x14ac:dyDescent="0.2">
      <c r="A337" s="13" t="s">
        <v>30</v>
      </c>
      <c r="B337" s="10" t="s">
        <v>92</v>
      </c>
      <c r="C337" s="11">
        <v>230121</v>
      </c>
      <c r="D337" s="15">
        <v>221043</v>
      </c>
    </row>
    <row r="338" spans="1:4" x14ac:dyDescent="0.2">
      <c r="A338" s="12" t="s">
        <v>30</v>
      </c>
      <c r="B338" s="8" t="s">
        <v>93</v>
      </c>
      <c r="C338" s="9">
        <v>6635</v>
      </c>
      <c r="D338" s="14">
        <v>6617</v>
      </c>
    </row>
    <row r="339" spans="1:4" x14ac:dyDescent="0.2">
      <c r="A339" s="13" t="s">
        <v>30</v>
      </c>
      <c r="B339" s="10" t="s">
        <v>94</v>
      </c>
      <c r="C339" s="11">
        <v>347216</v>
      </c>
      <c r="D339" s="15">
        <v>330945</v>
      </c>
    </row>
    <row r="340" spans="1:4" x14ac:dyDescent="0.2">
      <c r="A340" s="12" t="s">
        <v>30</v>
      </c>
      <c r="B340" s="8" t="s">
        <v>95</v>
      </c>
      <c r="C340" s="9">
        <v>211655</v>
      </c>
      <c r="D340" s="14">
        <v>220207</v>
      </c>
    </row>
    <row r="341" spans="1:4" x14ac:dyDescent="0.2">
      <c r="A341" s="13" t="s">
        <v>30</v>
      </c>
      <c r="B341" s="10" t="s">
        <v>96</v>
      </c>
      <c r="C341" s="11">
        <v>14673</v>
      </c>
      <c r="D341" s="15">
        <v>13538</v>
      </c>
    </row>
    <row r="342" spans="1:4" x14ac:dyDescent="0.2">
      <c r="A342" s="12" t="s">
        <v>30</v>
      </c>
      <c r="B342" s="8" t="s">
        <v>97</v>
      </c>
      <c r="C342" s="9">
        <v>439755</v>
      </c>
      <c r="D342" s="14">
        <v>476256</v>
      </c>
    </row>
    <row r="343" spans="1:4" x14ac:dyDescent="0.2">
      <c r="A343" s="13" t="s">
        <v>30</v>
      </c>
      <c r="B343" s="10" t="s">
        <v>98</v>
      </c>
      <c r="C343" s="11">
        <v>55869</v>
      </c>
      <c r="D343" s="15">
        <v>62210</v>
      </c>
    </row>
    <row r="344" spans="1:4" x14ac:dyDescent="0.2">
      <c r="A344" s="12" t="s">
        <v>30</v>
      </c>
      <c r="B344" s="8" t="s">
        <v>99</v>
      </c>
      <c r="C344" s="9">
        <v>246258</v>
      </c>
      <c r="D344" s="14">
        <v>228377</v>
      </c>
    </row>
    <row r="345" spans="1:4" x14ac:dyDescent="0.2">
      <c r="A345" s="13" t="s">
        <v>30</v>
      </c>
      <c r="B345" s="10" t="s">
        <v>100</v>
      </c>
      <c r="C345" s="11">
        <v>4668</v>
      </c>
      <c r="D345" s="15">
        <v>4353</v>
      </c>
    </row>
    <row r="346" spans="1:4" x14ac:dyDescent="0.2">
      <c r="A346" s="12" t="s">
        <v>30</v>
      </c>
      <c r="B346" s="8" t="s">
        <v>101</v>
      </c>
      <c r="C346" s="9">
        <v>7701</v>
      </c>
      <c r="D346" s="14">
        <v>8421</v>
      </c>
    </row>
    <row r="347" spans="1:4" x14ac:dyDescent="0.2">
      <c r="A347" s="13" t="s">
        <v>30</v>
      </c>
      <c r="B347" s="10" t="s">
        <v>102</v>
      </c>
      <c r="C347" s="11">
        <v>5400</v>
      </c>
      <c r="D347" s="15">
        <v>5437</v>
      </c>
    </row>
    <row r="348" spans="1:4" x14ac:dyDescent="0.2">
      <c r="A348" s="12" t="s">
        <v>30</v>
      </c>
      <c r="B348" s="8" t="s">
        <v>103</v>
      </c>
      <c r="C348" s="9">
        <v>93113</v>
      </c>
      <c r="D348" s="14">
        <v>96376</v>
      </c>
    </row>
    <row r="349" spans="1:4" x14ac:dyDescent="0.2">
      <c r="A349" s="13" t="s">
        <v>30</v>
      </c>
      <c r="B349" s="10" t="s">
        <v>104</v>
      </c>
      <c r="C349" s="11">
        <v>61361</v>
      </c>
      <c r="D349" s="15">
        <v>59484</v>
      </c>
    </row>
    <row r="350" spans="1:4" x14ac:dyDescent="0.2">
      <c r="A350" s="12" t="s">
        <v>30</v>
      </c>
      <c r="B350" s="8" t="s">
        <v>105</v>
      </c>
      <c r="C350" s="9">
        <v>5606</v>
      </c>
      <c r="D350" s="14">
        <v>5173</v>
      </c>
    </row>
    <row r="351" spans="1:4" x14ac:dyDescent="0.2">
      <c r="A351" s="13" t="s">
        <v>30</v>
      </c>
      <c r="B351" s="10" t="s">
        <v>106</v>
      </c>
      <c r="C351" s="11">
        <v>10820</v>
      </c>
      <c r="D351" s="15">
        <v>11202</v>
      </c>
    </row>
    <row r="352" spans="1:4" x14ac:dyDescent="0.2">
      <c r="A352" s="12" t="s">
        <v>37</v>
      </c>
      <c r="B352" s="8" t="s">
        <v>72</v>
      </c>
      <c r="C352" s="9">
        <v>215471</v>
      </c>
      <c r="D352" s="14">
        <v>226855</v>
      </c>
    </row>
    <row r="353" spans="1:4" x14ac:dyDescent="0.2">
      <c r="A353" s="13" t="s">
        <v>37</v>
      </c>
      <c r="B353" s="10" t="s">
        <v>73</v>
      </c>
      <c r="C353" s="11">
        <v>14721</v>
      </c>
      <c r="D353" s="15">
        <v>13663</v>
      </c>
    </row>
    <row r="354" spans="1:4" x14ac:dyDescent="0.2">
      <c r="A354" s="12" t="s">
        <v>37</v>
      </c>
      <c r="B354" s="8" t="s">
        <v>74</v>
      </c>
      <c r="C354" s="9">
        <v>80334</v>
      </c>
      <c r="D354" s="14">
        <v>75856</v>
      </c>
    </row>
    <row r="355" spans="1:4" x14ac:dyDescent="0.2">
      <c r="A355" s="13" t="s">
        <v>37</v>
      </c>
      <c r="B355" s="10" t="s">
        <v>75</v>
      </c>
      <c r="C355" s="11">
        <v>163433</v>
      </c>
      <c r="D355" s="15">
        <v>172477</v>
      </c>
    </row>
    <row r="356" spans="1:4" x14ac:dyDescent="0.2">
      <c r="A356" s="12" t="s">
        <v>37</v>
      </c>
      <c r="B356" s="8" t="s">
        <v>76</v>
      </c>
      <c r="C356" s="9">
        <v>100428</v>
      </c>
      <c r="D356" s="14">
        <v>108201</v>
      </c>
    </row>
    <row r="357" spans="1:4" x14ac:dyDescent="0.2">
      <c r="A357" s="13" t="s">
        <v>37</v>
      </c>
      <c r="B357" s="10" t="s">
        <v>77</v>
      </c>
      <c r="C357" s="11">
        <v>21943</v>
      </c>
      <c r="D357" s="15">
        <v>20266</v>
      </c>
    </row>
    <row r="358" spans="1:4" x14ac:dyDescent="0.2">
      <c r="A358" s="12" t="s">
        <v>37</v>
      </c>
      <c r="B358" s="8" t="s">
        <v>78</v>
      </c>
      <c r="C358" s="9">
        <v>318546</v>
      </c>
      <c r="D358" s="14">
        <v>305948</v>
      </c>
    </row>
    <row r="359" spans="1:4" x14ac:dyDescent="0.2">
      <c r="A359" s="13" t="s">
        <v>37</v>
      </c>
      <c r="B359" s="10" t="s">
        <v>79</v>
      </c>
      <c r="C359" s="11">
        <v>143980</v>
      </c>
      <c r="D359" s="15">
        <v>143887</v>
      </c>
    </row>
    <row r="360" spans="1:4" x14ac:dyDescent="0.2">
      <c r="A360" s="12" t="s">
        <v>37</v>
      </c>
      <c r="B360" s="8" t="s">
        <v>80</v>
      </c>
      <c r="C360" s="9">
        <v>40239</v>
      </c>
      <c r="D360" s="14">
        <v>44079</v>
      </c>
    </row>
    <row r="361" spans="1:4" x14ac:dyDescent="0.2">
      <c r="A361" s="13" t="s">
        <v>37</v>
      </c>
      <c r="B361" s="10" t="s">
        <v>81</v>
      </c>
      <c r="C361" s="11">
        <v>72339</v>
      </c>
      <c r="D361" s="15">
        <v>78470</v>
      </c>
    </row>
    <row r="362" spans="1:4" x14ac:dyDescent="0.2">
      <c r="A362" s="12" t="s">
        <v>37</v>
      </c>
      <c r="B362" s="8" t="s">
        <v>82</v>
      </c>
      <c r="C362" s="9">
        <v>340350</v>
      </c>
      <c r="D362" s="14">
        <v>372603</v>
      </c>
    </row>
    <row r="363" spans="1:4" x14ac:dyDescent="0.2">
      <c r="A363" s="13" t="s">
        <v>37</v>
      </c>
      <c r="B363" s="10" t="s">
        <v>83</v>
      </c>
      <c r="C363" s="11">
        <v>196315</v>
      </c>
      <c r="D363" s="15">
        <v>202836</v>
      </c>
    </row>
    <row r="364" spans="1:4" x14ac:dyDescent="0.2">
      <c r="A364" s="12" t="s">
        <v>37</v>
      </c>
      <c r="B364" s="8" t="s">
        <v>84</v>
      </c>
      <c r="C364" s="9">
        <v>198345</v>
      </c>
      <c r="D364" s="14">
        <v>189062</v>
      </c>
    </row>
    <row r="365" spans="1:4" x14ac:dyDescent="0.2">
      <c r="A365" s="13" t="s">
        <v>37</v>
      </c>
      <c r="B365" s="10" t="s">
        <v>85</v>
      </c>
      <c r="C365" s="11">
        <v>568618</v>
      </c>
      <c r="D365" s="15">
        <v>615973</v>
      </c>
    </row>
    <row r="366" spans="1:4" x14ac:dyDescent="0.2">
      <c r="A366" s="12" t="s">
        <v>37</v>
      </c>
      <c r="B366" s="8" t="s">
        <v>86</v>
      </c>
      <c r="C366" s="9">
        <v>12435</v>
      </c>
      <c r="D366" s="14">
        <v>13426</v>
      </c>
    </row>
    <row r="367" spans="1:4" x14ac:dyDescent="0.2">
      <c r="A367" s="13" t="s">
        <v>37</v>
      </c>
      <c r="B367" s="10" t="s">
        <v>87</v>
      </c>
      <c r="C367" s="11">
        <v>16037</v>
      </c>
      <c r="D367" s="15">
        <v>17941</v>
      </c>
    </row>
    <row r="368" spans="1:4" x14ac:dyDescent="0.2">
      <c r="A368" s="12" t="s">
        <v>37</v>
      </c>
      <c r="B368" s="8" t="s">
        <v>88</v>
      </c>
      <c r="C368" s="9">
        <v>8915</v>
      </c>
      <c r="D368" s="14">
        <v>8476</v>
      </c>
    </row>
    <row r="369" spans="1:4" x14ac:dyDescent="0.2">
      <c r="A369" s="13" t="s">
        <v>37</v>
      </c>
      <c r="B369" s="10" t="s">
        <v>89</v>
      </c>
      <c r="C369" s="11">
        <v>9845</v>
      </c>
      <c r="D369" s="15">
        <v>9094</v>
      </c>
    </row>
    <row r="370" spans="1:4" x14ac:dyDescent="0.2">
      <c r="A370" s="12" t="s">
        <v>37</v>
      </c>
      <c r="B370" s="8" t="s">
        <v>90</v>
      </c>
      <c r="C370" s="9">
        <v>148067</v>
      </c>
      <c r="D370" s="14">
        <v>147028</v>
      </c>
    </row>
    <row r="371" spans="1:4" x14ac:dyDescent="0.2">
      <c r="A371" s="13" t="s">
        <v>37</v>
      </c>
      <c r="B371" s="10" t="s">
        <v>91</v>
      </c>
      <c r="C371" s="11">
        <v>136220</v>
      </c>
      <c r="D371" s="15">
        <v>130377</v>
      </c>
    </row>
    <row r="372" spans="1:4" x14ac:dyDescent="0.2">
      <c r="A372" s="12" t="s">
        <v>37</v>
      </c>
      <c r="B372" s="8" t="s">
        <v>92</v>
      </c>
      <c r="C372" s="9">
        <v>240241</v>
      </c>
      <c r="D372" s="14">
        <v>253549</v>
      </c>
    </row>
    <row r="373" spans="1:4" x14ac:dyDescent="0.2">
      <c r="A373" s="13" t="s">
        <v>37</v>
      </c>
      <c r="B373" s="10" t="s">
        <v>93</v>
      </c>
      <c r="C373" s="11">
        <v>6766</v>
      </c>
      <c r="D373" s="15">
        <v>6476</v>
      </c>
    </row>
    <row r="374" spans="1:4" x14ac:dyDescent="0.2">
      <c r="A374" s="12" t="s">
        <v>37</v>
      </c>
      <c r="B374" s="8" t="s">
        <v>94</v>
      </c>
      <c r="C374" s="9">
        <v>363604</v>
      </c>
      <c r="D374" s="14">
        <v>358574</v>
      </c>
    </row>
    <row r="375" spans="1:4" x14ac:dyDescent="0.2">
      <c r="A375" s="13" t="s">
        <v>37</v>
      </c>
      <c r="B375" s="10" t="s">
        <v>95</v>
      </c>
      <c r="C375" s="11">
        <v>221182</v>
      </c>
      <c r="D375" s="15">
        <v>247721</v>
      </c>
    </row>
    <row r="376" spans="1:4" x14ac:dyDescent="0.2">
      <c r="A376" s="12" t="s">
        <v>37</v>
      </c>
      <c r="B376" s="8" t="s">
        <v>96</v>
      </c>
      <c r="C376" s="9">
        <v>14813</v>
      </c>
      <c r="D376" s="14">
        <v>16526</v>
      </c>
    </row>
    <row r="377" spans="1:4" x14ac:dyDescent="0.2">
      <c r="A377" s="13" t="s">
        <v>37</v>
      </c>
      <c r="B377" s="10" t="s">
        <v>97</v>
      </c>
      <c r="C377" s="11">
        <v>452300</v>
      </c>
      <c r="D377" s="15">
        <v>470534</v>
      </c>
    </row>
    <row r="378" spans="1:4" x14ac:dyDescent="0.2">
      <c r="A378" s="12" t="s">
        <v>37</v>
      </c>
      <c r="B378" s="8" t="s">
        <v>98</v>
      </c>
      <c r="C378" s="9">
        <v>56825</v>
      </c>
      <c r="D378" s="14">
        <v>59429</v>
      </c>
    </row>
    <row r="379" spans="1:4" x14ac:dyDescent="0.2">
      <c r="A379" s="13" t="s">
        <v>37</v>
      </c>
      <c r="B379" s="10" t="s">
        <v>99</v>
      </c>
      <c r="C379" s="11">
        <v>257439</v>
      </c>
      <c r="D379" s="15">
        <v>286272</v>
      </c>
    </row>
    <row r="380" spans="1:4" x14ac:dyDescent="0.2">
      <c r="A380" s="12" t="s">
        <v>37</v>
      </c>
      <c r="B380" s="8" t="s">
        <v>100</v>
      </c>
      <c r="C380" s="9">
        <v>4465</v>
      </c>
      <c r="D380" s="14">
        <v>4717</v>
      </c>
    </row>
    <row r="381" spans="1:4" x14ac:dyDescent="0.2">
      <c r="A381" s="13" t="s">
        <v>37</v>
      </c>
      <c r="B381" s="10" t="s">
        <v>101</v>
      </c>
      <c r="C381" s="11">
        <v>8760</v>
      </c>
      <c r="D381" s="15">
        <v>8272</v>
      </c>
    </row>
    <row r="382" spans="1:4" x14ac:dyDescent="0.2">
      <c r="A382" s="12" t="s">
        <v>37</v>
      </c>
      <c r="B382" s="8" t="s">
        <v>102</v>
      </c>
      <c r="C382" s="9">
        <v>5295</v>
      </c>
      <c r="D382" s="14">
        <v>5726</v>
      </c>
    </row>
    <row r="383" spans="1:4" x14ac:dyDescent="0.2">
      <c r="A383" s="13" t="s">
        <v>37</v>
      </c>
      <c r="B383" s="10" t="s">
        <v>103</v>
      </c>
      <c r="C383" s="11">
        <v>98650</v>
      </c>
      <c r="D383" s="15">
        <v>104219</v>
      </c>
    </row>
    <row r="384" spans="1:4" x14ac:dyDescent="0.2">
      <c r="A384" s="12" t="s">
        <v>37</v>
      </c>
      <c r="B384" s="8" t="s">
        <v>104</v>
      </c>
      <c r="C384" s="9">
        <v>63824</v>
      </c>
      <c r="D384" s="14">
        <v>64862</v>
      </c>
    </row>
    <row r="385" spans="1:4" x14ac:dyDescent="0.2">
      <c r="A385" s="13" t="s">
        <v>37</v>
      </c>
      <c r="B385" s="10" t="s">
        <v>105</v>
      </c>
      <c r="C385" s="11">
        <v>6567</v>
      </c>
      <c r="D385" s="15">
        <v>6651</v>
      </c>
    </row>
    <row r="386" spans="1:4" x14ac:dyDescent="0.2">
      <c r="A386" s="12" t="s">
        <v>37</v>
      </c>
      <c r="B386" s="8" t="s">
        <v>106</v>
      </c>
      <c r="C386" s="9">
        <v>11307</v>
      </c>
      <c r="D386" s="14">
        <v>10778</v>
      </c>
    </row>
    <row r="387" spans="1:4" x14ac:dyDescent="0.2">
      <c r="A387" s="13" t="s">
        <v>31</v>
      </c>
      <c r="B387" s="10" t="s">
        <v>72</v>
      </c>
      <c r="C387" s="11">
        <v>228695</v>
      </c>
      <c r="D387" s="15">
        <v>251410</v>
      </c>
    </row>
    <row r="388" spans="1:4" x14ac:dyDescent="0.2">
      <c r="A388" s="12" t="s">
        <v>31</v>
      </c>
      <c r="B388" s="8" t="s">
        <v>73</v>
      </c>
      <c r="C388" s="9">
        <v>14821</v>
      </c>
      <c r="D388" s="14">
        <v>15476</v>
      </c>
    </row>
    <row r="389" spans="1:4" x14ac:dyDescent="0.2">
      <c r="A389" s="13" t="s">
        <v>31</v>
      </c>
      <c r="B389" s="10" t="s">
        <v>74</v>
      </c>
      <c r="C389" s="11">
        <v>86951</v>
      </c>
      <c r="D389" s="15">
        <v>94599</v>
      </c>
    </row>
    <row r="390" spans="1:4" x14ac:dyDescent="0.2">
      <c r="A390" s="12" t="s">
        <v>31</v>
      </c>
      <c r="B390" s="8" t="s">
        <v>75</v>
      </c>
      <c r="C390" s="9">
        <v>167632</v>
      </c>
      <c r="D390" s="14">
        <v>176850</v>
      </c>
    </row>
    <row r="391" spans="1:4" x14ac:dyDescent="0.2">
      <c r="A391" s="13" t="s">
        <v>31</v>
      </c>
      <c r="B391" s="10" t="s">
        <v>76</v>
      </c>
      <c r="C391" s="11">
        <v>102589</v>
      </c>
      <c r="D391" s="15">
        <v>106466</v>
      </c>
    </row>
    <row r="392" spans="1:4" x14ac:dyDescent="0.2">
      <c r="A392" s="12" t="s">
        <v>31</v>
      </c>
      <c r="B392" s="8" t="s">
        <v>77</v>
      </c>
      <c r="C392" s="9">
        <v>23048</v>
      </c>
      <c r="D392" s="14">
        <v>22755</v>
      </c>
    </row>
    <row r="393" spans="1:4" x14ac:dyDescent="0.2">
      <c r="A393" s="13" t="s">
        <v>31</v>
      </c>
      <c r="B393" s="10" t="s">
        <v>78</v>
      </c>
      <c r="C393" s="11">
        <v>338755</v>
      </c>
      <c r="D393" s="15">
        <v>358609</v>
      </c>
    </row>
    <row r="394" spans="1:4" x14ac:dyDescent="0.2">
      <c r="A394" s="12" t="s">
        <v>31</v>
      </c>
      <c r="B394" s="8" t="s">
        <v>79</v>
      </c>
      <c r="C394" s="9">
        <v>153225</v>
      </c>
      <c r="D394" s="14">
        <v>153969</v>
      </c>
    </row>
    <row r="395" spans="1:4" x14ac:dyDescent="0.2">
      <c r="A395" s="13" t="s">
        <v>31</v>
      </c>
      <c r="B395" s="10" t="s">
        <v>80</v>
      </c>
      <c r="C395" s="11">
        <v>41771</v>
      </c>
      <c r="D395" s="15">
        <v>44438</v>
      </c>
    </row>
    <row r="396" spans="1:4" x14ac:dyDescent="0.2">
      <c r="A396" s="12" t="s">
        <v>31</v>
      </c>
      <c r="B396" s="8" t="s">
        <v>81</v>
      </c>
      <c r="C396" s="9">
        <v>77060</v>
      </c>
      <c r="D396" s="14">
        <v>83020</v>
      </c>
    </row>
    <row r="397" spans="1:4" x14ac:dyDescent="0.2">
      <c r="A397" s="13" t="s">
        <v>31</v>
      </c>
      <c r="B397" s="10" t="s">
        <v>82</v>
      </c>
      <c r="C397" s="11">
        <v>353125</v>
      </c>
      <c r="D397" s="15">
        <v>334636</v>
      </c>
    </row>
    <row r="398" spans="1:4" x14ac:dyDescent="0.2">
      <c r="A398" s="12" t="s">
        <v>31</v>
      </c>
      <c r="B398" s="8" t="s">
        <v>83</v>
      </c>
      <c r="C398" s="9">
        <v>209917</v>
      </c>
      <c r="D398" s="14">
        <v>227586</v>
      </c>
    </row>
    <row r="399" spans="1:4" x14ac:dyDescent="0.2">
      <c r="A399" s="13" t="s">
        <v>31</v>
      </c>
      <c r="B399" s="10" t="s">
        <v>84</v>
      </c>
      <c r="C399" s="11">
        <v>211923</v>
      </c>
      <c r="D399" s="15">
        <v>222435</v>
      </c>
    </row>
    <row r="400" spans="1:4" x14ac:dyDescent="0.2">
      <c r="A400" s="12" t="s">
        <v>31</v>
      </c>
      <c r="B400" s="8" t="s">
        <v>85</v>
      </c>
      <c r="C400" s="9">
        <v>608568</v>
      </c>
      <c r="D400" s="14">
        <v>640606</v>
      </c>
    </row>
    <row r="401" spans="1:4" x14ac:dyDescent="0.2">
      <c r="A401" s="13" t="s">
        <v>31</v>
      </c>
      <c r="B401" s="10" t="s">
        <v>86</v>
      </c>
      <c r="C401" s="11">
        <v>13196</v>
      </c>
      <c r="D401" s="15">
        <v>13582</v>
      </c>
    </row>
    <row r="402" spans="1:4" x14ac:dyDescent="0.2">
      <c r="A402" s="12" t="s">
        <v>31</v>
      </c>
      <c r="B402" s="8" t="s">
        <v>87</v>
      </c>
      <c r="C402" s="9">
        <v>16946</v>
      </c>
      <c r="D402" s="14">
        <v>18601</v>
      </c>
    </row>
    <row r="403" spans="1:4" x14ac:dyDescent="0.2">
      <c r="A403" s="13" t="s">
        <v>31</v>
      </c>
      <c r="B403" s="10" t="s">
        <v>88</v>
      </c>
      <c r="C403" s="11">
        <v>9809</v>
      </c>
      <c r="D403" s="15">
        <v>10191</v>
      </c>
    </row>
    <row r="404" spans="1:4" x14ac:dyDescent="0.2">
      <c r="A404" s="12" t="s">
        <v>31</v>
      </c>
      <c r="B404" s="8" t="s">
        <v>89</v>
      </c>
      <c r="C404" s="9">
        <v>10100</v>
      </c>
      <c r="D404" s="14">
        <v>9482</v>
      </c>
    </row>
    <row r="405" spans="1:4" x14ac:dyDescent="0.2">
      <c r="A405" s="13" t="s">
        <v>31</v>
      </c>
      <c r="B405" s="10" t="s">
        <v>90</v>
      </c>
      <c r="C405" s="11">
        <v>148649</v>
      </c>
      <c r="D405" s="15">
        <v>157098</v>
      </c>
    </row>
    <row r="406" spans="1:4" x14ac:dyDescent="0.2">
      <c r="A406" s="12" t="s">
        <v>31</v>
      </c>
      <c r="B406" s="8" t="s">
        <v>91</v>
      </c>
      <c r="C406" s="9">
        <v>140949</v>
      </c>
      <c r="D406" s="14">
        <v>148239</v>
      </c>
    </row>
    <row r="407" spans="1:4" x14ac:dyDescent="0.2">
      <c r="A407" s="13" t="s">
        <v>31</v>
      </c>
      <c r="B407" s="10" t="s">
        <v>92</v>
      </c>
      <c r="C407" s="11">
        <v>244087</v>
      </c>
      <c r="D407" s="15">
        <v>268858</v>
      </c>
    </row>
    <row r="408" spans="1:4" x14ac:dyDescent="0.2">
      <c r="A408" s="12" t="s">
        <v>31</v>
      </c>
      <c r="B408" s="8" t="s">
        <v>93</v>
      </c>
      <c r="C408" s="9">
        <v>7722</v>
      </c>
      <c r="D408" s="14">
        <v>8148</v>
      </c>
    </row>
    <row r="409" spans="1:4" x14ac:dyDescent="0.2">
      <c r="A409" s="13" t="s">
        <v>31</v>
      </c>
      <c r="B409" s="10" t="s">
        <v>94</v>
      </c>
      <c r="C409" s="11">
        <v>377153</v>
      </c>
      <c r="D409" s="15">
        <v>362194</v>
      </c>
    </row>
    <row r="410" spans="1:4" x14ac:dyDescent="0.2">
      <c r="A410" s="12" t="s">
        <v>31</v>
      </c>
      <c r="B410" s="8" t="s">
        <v>95</v>
      </c>
      <c r="C410" s="9">
        <v>226755</v>
      </c>
      <c r="D410" s="14">
        <v>248618</v>
      </c>
    </row>
    <row r="411" spans="1:4" x14ac:dyDescent="0.2">
      <c r="A411" s="13" t="s">
        <v>31</v>
      </c>
      <c r="B411" s="10" t="s">
        <v>96</v>
      </c>
      <c r="C411" s="11">
        <v>15976</v>
      </c>
      <c r="D411" s="15">
        <v>15264</v>
      </c>
    </row>
    <row r="412" spans="1:4" x14ac:dyDescent="0.2">
      <c r="A412" s="12" t="s">
        <v>31</v>
      </c>
      <c r="B412" s="8" t="s">
        <v>97</v>
      </c>
      <c r="C412" s="9">
        <v>469757</v>
      </c>
      <c r="D412" s="14">
        <v>466495</v>
      </c>
    </row>
    <row r="413" spans="1:4" x14ac:dyDescent="0.2">
      <c r="A413" s="13" t="s">
        <v>31</v>
      </c>
      <c r="B413" s="10" t="s">
        <v>98</v>
      </c>
      <c r="C413" s="11">
        <v>61049</v>
      </c>
      <c r="D413" s="15">
        <v>67766</v>
      </c>
    </row>
    <row r="414" spans="1:4" x14ac:dyDescent="0.2">
      <c r="A414" s="12" t="s">
        <v>31</v>
      </c>
      <c r="B414" s="8" t="s">
        <v>99</v>
      </c>
      <c r="C414" s="9">
        <v>275033</v>
      </c>
      <c r="D414" s="14">
        <v>291702</v>
      </c>
    </row>
    <row r="415" spans="1:4" x14ac:dyDescent="0.2">
      <c r="A415" s="13" t="s">
        <v>31</v>
      </c>
      <c r="B415" s="10" t="s">
        <v>100</v>
      </c>
      <c r="C415" s="11">
        <v>4639</v>
      </c>
      <c r="D415" s="15">
        <v>4841</v>
      </c>
    </row>
    <row r="416" spans="1:4" x14ac:dyDescent="0.2">
      <c r="A416" s="12" t="s">
        <v>31</v>
      </c>
      <c r="B416" s="8" t="s">
        <v>101</v>
      </c>
      <c r="C416" s="9">
        <v>8539</v>
      </c>
      <c r="D416" s="14">
        <v>9250</v>
      </c>
    </row>
    <row r="417" spans="1:4" x14ac:dyDescent="0.2">
      <c r="A417" s="13" t="s">
        <v>31</v>
      </c>
      <c r="B417" s="10" t="s">
        <v>102</v>
      </c>
      <c r="C417" s="11">
        <v>6061</v>
      </c>
      <c r="D417" s="15">
        <v>5675</v>
      </c>
    </row>
    <row r="418" spans="1:4" x14ac:dyDescent="0.2">
      <c r="A418" s="12" t="s">
        <v>31</v>
      </c>
      <c r="B418" s="8" t="s">
        <v>103</v>
      </c>
      <c r="C418" s="9">
        <v>101859</v>
      </c>
      <c r="D418" s="14">
        <v>94964</v>
      </c>
    </row>
    <row r="419" spans="1:4" x14ac:dyDescent="0.2">
      <c r="A419" s="13" t="s">
        <v>31</v>
      </c>
      <c r="B419" s="10" t="s">
        <v>104</v>
      </c>
      <c r="C419" s="11">
        <v>67034</v>
      </c>
      <c r="D419" s="15">
        <v>68893</v>
      </c>
    </row>
    <row r="420" spans="1:4" x14ac:dyDescent="0.2">
      <c r="A420" s="12" t="s">
        <v>31</v>
      </c>
      <c r="B420" s="8" t="s">
        <v>105</v>
      </c>
      <c r="C420" s="9">
        <v>7123</v>
      </c>
      <c r="D420" s="14">
        <v>7883</v>
      </c>
    </row>
    <row r="421" spans="1:4" x14ac:dyDescent="0.2">
      <c r="A421" s="19" t="s">
        <v>31</v>
      </c>
      <c r="B421" s="20" t="s">
        <v>106</v>
      </c>
      <c r="C421" s="21">
        <v>11288</v>
      </c>
      <c r="D421" s="22">
        <v>11345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8A1F4-A782-F54F-BC0E-950B0EA795FF}">
  <dimension ref="A1:C14"/>
  <sheetViews>
    <sheetView zoomScale="125" workbookViewId="0">
      <selection activeCell="E8" sqref="E8"/>
    </sheetView>
  </sheetViews>
  <sheetFormatPr baseColWidth="10" defaultRowHeight="16" x14ac:dyDescent="0.2"/>
  <cols>
    <col min="1" max="1" width="15.5" customWidth="1"/>
    <col min="2" max="2" width="12" customWidth="1"/>
    <col min="3" max="3" width="11" customWidth="1"/>
  </cols>
  <sheetData>
    <row r="1" spans="1:3" x14ac:dyDescent="0.2">
      <c r="A1" s="2" t="s">
        <v>20</v>
      </c>
      <c r="B1" s="2" t="s">
        <v>40</v>
      </c>
      <c r="C1" s="2" t="s">
        <v>41</v>
      </c>
    </row>
    <row r="2" spans="1:3" x14ac:dyDescent="0.2">
      <c r="A2" s="2"/>
      <c r="B2" s="2"/>
      <c r="C2" s="2"/>
    </row>
    <row r="3" spans="1:3" x14ac:dyDescent="0.2">
      <c r="A3" t="s">
        <v>21</v>
      </c>
      <c r="B3">
        <v>2014</v>
      </c>
      <c r="C3">
        <v>2015</v>
      </c>
    </row>
    <row r="4" spans="1:3" x14ac:dyDescent="0.2">
      <c r="A4" t="s">
        <v>22</v>
      </c>
      <c r="B4">
        <v>2015</v>
      </c>
      <c r="C4">
        <v>2016</v>
      </c>
    </row>
    <row r="5" spans="1:3" x14ac:dyDescent="0.2">
      <c r="A5" t="s">
        <v>23</v>
      </c>
      <c r="B5">
        <v>2016</v>
      </c>
      <c r="C5">
        <v>2017</v>
      </c>
    </row>
    <row r="6" spans="1:3" x14ac:dyDescent="0.2">
      <c r="A6" t="s">
        <v>24</v>
      </c>
      <c r="B6">
        <v>2017</v>
      </c>
      <c r="C6">
        <v>2018</v>
      </c>
    </row>
    <row r="7" spans="1:3" x14ac:dyDescent="0.2">
      <c r="A7" t="s">
        <v>25</v>
      </c>
      <c r="B7">
        <v>2018</v>
      </c>
      <c r="C7">
        <v>2019</v>
      </c>
    </row>
    <row r="8" spans="1:3" x14ac:dyDescent="0.2">
      <c r="A8" t="s">
        <v>26</v>
      </c>
      <c r="B8">
        <v>2019</v>
      </c>
      <c r="C8">
        <v>2020</v>
      </c>
    </row>
    <row r="9" spans="1:3" x14ac:dyDescent="0.2">
      <c r="A9" t="s">
        <v>27</v>
      </c>
      <c r="B9">
        <v>2020</v>
      </c>
      <c r="C9">
        <v>2021</v>
      </c>
    </row>
    <row r="10" spans="1:3" x14ac:dyDescent="0.2">
      <c r="A10" t="s">
        <v>28</v>
      </c>
      <c r="B10">
        <v>2021</v>
      </c>
      <c r="C10">
        <v>2022</v>
      </c>
    </row>
    <row r="11" spans="1:3" x14ac:dyDescent="0.2">
      <c r="A11" t="s">
        <v>29</v>
      </c>
      <c r="B11">
        <v>2022</v>
      </c>
      <c r="C11">
        <v>2023</v>
      </c>
    </row>
    <row r="12" spans="1:3" x14ac:dyDescent="0.2">
      <c r="A12" t="s">
        <v>30</v>
      </c>
      <c r="B12">
        <v>2023</v>
      </c>
      <c r="C12">
        <v>2024</v>
      </c>
    </row>
    <row r="13" spans="1:3" x14ac:dyDescent="0.2">
      <c r="A13" t="s">
        <v>37</v>
      </c>
      <c r="B13">
        <v>2024</v>
      </c>
      <c r="C13">
        <v>2025</v>
      </c>
    </row>
    <row r="14" spans="1:3" x14ac:dyDescent="0.2">
      <c r="A14" t="s">
        <v>31</v>
      </c>
      <c r="B14">
        <v>2025</v>
      </c>
      <c r="C14">
        <v>2026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Note</vt:lpstr>
      <vt:lpstr>Budget_Main</vt:lpstr>
      <vt:lpstr>Growth_calculation</vt:lpstr>
      <vt:lpstr>Revenue_Detail</vt:lpstr>
      <vt:lpstr>Expenditure_Detail</vt:lpstr>
      <vt:lpstr>Inflation_rupee_month_wise</vt:lpstr>
      <vt:lpstr>inflation_rupee_quater_wise</vt:lpstr>
      <vt:lpstr>Where the Rupee Comes From</vt:lpstr>
      <vt:lpstr>Where the Rupee Goes</vt:lpstr>
      <vt:lpstr>inflation_rupee_year_wise</vt:lpstr>
      <vt:lpstr>State_allocation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darshanihl@outlook.com</dc:creator>
  <cp:lastModifiedBy>darshanihl@outlook.com</cp:lastModifiedBy>
  <dcterms:created xsi:type="dcterms:W3CDTF">2026-02-26T06:16:50Z</dcterms:created>
  <dcterms:modified xsi:type="dcterms:W3CDTF">2026-03-13T07:36:27Z</dcterms:modified>
</cp:coreProperties>
</file>